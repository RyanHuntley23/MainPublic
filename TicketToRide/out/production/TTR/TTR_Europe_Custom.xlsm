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\Desktop\Ryan_Files\Projects\TTR\"/>
    </mc:Choice>
  </mc:AlternateContent>
  <xr:revisionPtr revIDLastSave="0" documentId="13_ncr:1_{7DBE7B85-CF80-46C5-9871-C0C9767D6E65}" xr6:coauthVersionLast="45" xr6:coauthVersionMax="45" xr10:uidLastSave="{00000000-0000-0000-0000-000000000000}"/>
  <bookViews>
    <workbookView xWindow="-120" yWindow="-120" windowWidth="29040" windowHeight="15990" xr2:uid="{B078A516-855C-4804-B929-C067689A5A61}"/>
  </bookViews>
  <sheets>
    <sheet name="Sheet4" sheetId="4" r:id="rId1"/>
    <sheet name="Sheet3" sheetId="3" r:id="rId2"/>
  </sheets>
  <definedNames>
    <definedName name="_xlnm.Print_Area" localSheetId="0">Sheet4!$A$3:$I$561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60" i="4" l="1"/>
  <c r="F559" i="4"/>
  <c r="C559" i="4"/>
  <c r="E553" i="4"/>
  <c r="F552" i="4"/>
  <c r="C552" i="4"/>
  <c r="E546" i="4"/>
  <c r="F545" i="4"/>
  <c r="C545" i="4"/>
  <c r="E539" i="4"/>
  <c r="F538" i="4"/>
  <c r="C538" i="4"/>
  <c r="E532" i="4"/>
  <c r="F531" i="4"/>
  <c r="C531" i="4"/>
  <c r="E525" i="4"/>
  <c r="F524" i="4"/>
  <c r="C524" i="4"/>
  <c r="E518" i="4"/>
  <c r="F517" i="4"/>
  <c r="C517" i="4"/>
  <c r="E511" i="4"/>
  <c r="F510" i="4"/>
  <c r="C510" i="4"/>
  <c r="E504" i="4"/>
  <c r="F503" i="4"/>
  <c r="C503" i="4"/>
  <c r="E497" i="4"/>
  <c r="F496" i="4"/>
  <c r="C496" i="4"/>
  <c r="E490" i="4"/>
  <c r="F489" i="4"/>
  <c r="C489" i="4"/>
  <c r="E483" i="4"/>
  <c r="F482" i="4"/>
  <c r="C482" i="4"/>
  <c r="E476" i="4"/>
  <c r="F475" i="4"/>
  <c r="C475" i="4"/>
  <c r="E462" i="4"/>
  <c r="F461" i="4"/>
  <c r="C461" i="4"/>
  <c r="E455" i="4"/>
  <c r="F454" i="4"/>
  <c r="C454" i="4"/>
  <c r="E448" i="4"/>
  <c r="F447" i="4"/>
  <c r="C447" i="4"/>
  <c r="E434" i="4"/>
  <c r="F433" i="4"/>
  <c r="C433" i="4"/>
  <c r="E420" i="4"/>
  <c r="F419" i="4"/>
  <c r="C419" i="4"/>
  <c r="E406" i="4"/>
  <c r="F405" i="4"/>
  <c r="C405" i="4"/>
  <c r="E399" i="4"/>
  <c r="F398" i="4"/>
  <c r="C398" i="4"/>
  <c r="E371" i="4"/>
  <c r="F370" i="4"/>
  <c r="C370" i="4"/>
  <c r="E364" i="4"/>
  <c r="F363" i="4"/>
  <c r="C363" i="4"/>
  <c r="E350" i="4"/>
  <c r="F349" i="4"/>
  <c r="C349" i="4"/>
  <c r="E343" i="4"/>
  <c r="F342" i="4"/>
  <c r="C342" i="4"/>
  <c r="E336" i="4"/>
  <c r="F335" i="4"/>
  <c r="C335" i="4"/>
  <c r="E322" i="4"/>
  <c r="F321" i="4"/>
  <c r="C321" i="4"/>
  <c r="E308" i="4"/>
  <c r="F307" i="4"/>
  <c r="C307" i="4"/>
  <c r="E301" i="4"/>
  <c r="F300" i="4"/>
  <c r="C300" i="4"/>
  <c r="E294" i="4"/>
  <c r="F293" i="4"/>
  <c r="C293" i="4"/>
  <c r="E287" i="4"/>
  <c r="F286" i="4"/>
  <c r="C286" i="4"/>
  <c r="E280" i="4"/>
  <c r="F279" i="4"/>
  <c r="C279" i="4"/>
  <c r="E273" i="4"/>
  <c r="F272" i="4"/>
  <c r="C272" i="4"/>
  <c r="E266" i="4"/>
  <c r="F265" i="4"/>
  <c r="C265" i="4"/>
  <c r="E259" i="4"/>
  <c r="F258" i="4"/>
  <c r="C258" i="4"/>
  <c r="E245" i="4"/>
  <c r="F244" i="4"/>
  <c r="C244" i="4"/>
  <c r="E238" i="4"/>
  <c r="F237" i="4"/>
  <c r="C237" i="4"/>
  <c r="E231" i="4"/>
  <c r="F230" i="4"/>
  <c r="C230" i="4"/>
  <c r="E224" i="4"/>
  <c r="F223" i="4"/>
  <c r="C223" i="4"/>
  <c r="E217" i="4"/>
  <c r="F216" i="4"/>
  <c r="C216" i="4"/>
  <c r="E210" i="4"/>
  <c r="F209" i="4"/>
  <c r="C209" i="4"/>
  <c r="E203" i="4"/>
  <c r="F202" i="4"/>
  <c r="C202" i="4"/>
  <c r="E196" i="4"/>
  <c r="F195" i="4"/>
  <c r="C195" i="4"/>
  <c r="E189" i="4"/>
  <c r="F188" i="4"/>
  <c r="C188" i="4"/>
  <c r="E182" i="4"/>
  <c r="F181" i="4"/>
  <c r="C181" i="4"/>
  <c r="E175" i="4"/>
  <c r="F174" i="4"/>
  <c r="C174" i="4"/>
  <c r="E168" i="4"/>
  <c r="F167" i="4"/>
  <c r="C167" i="4"/>
  <c r="E161" i="4"/>
  <c r="F160" i="4"/>
  <c r="C160" i="4"/>
  <c r="E154" i="4"/>
  <c r="F153" i="4"/>
  <c r="C153" i="4"/>
  <c r="E147" i="4"/>
  <c r="F146" i="4"/>
  <c r="C146" i="4"/>
  <c r="E140" i="4"/>
  <c r="F139" i="4"/>
  <c r="C139" i="4"/>
  <c r="E133" i="4"/>
  <c r="F132" i="4"/>
  <c r="C132" i="4"/>
  <c r="E126" i="4"/>
  <c r="F125" i="4"/>
  <c r="C125" i="4"/>
  <c r="E119" i="4"/>
  <c r="F118" i="4"/>
  <c r="C118" i="4"/>
  <c r="E112" i="4"/>
  <c r="F111" i="4"/>
  <c r="C111" i="4"/>
  <c r="E105" i="4"/>
  <c r="F104" i="4"/>
  <c r="C104" i="4"/>
  <c r="E98" i="4"/>
  <c r="F97" i="4"/>
  <c r="C97" i="4"/>
  <c r="E91" i="4"/>
  <c r="F90" i="4"/>
  <c r="C90" i="4"/>
  <c r="E84" i="4"/>
  <c r="F83" i="4"/>
  <c r="C83" i="4"/>
  <c r="E77" i="4"/>
  <c r="F76" i="4"/>
  <c r="C76" i="4"/>
  <c r="E70" i="4"/>
  <c r="F69" i="4"/>
  <c r="C69" i="4"/>
  <c r="E63" i="4"/>
  <c r="F62" i="4"/>
  <c r="C62" i="4"/>
  <c r="E56" i="4"/>
  <c r="F55" i="4"/>
  <c r="C55" i="4"/>
  <c r="E49" i="4"/>
  <c r="F48" i="4"/>
  <c r="C48" i="4"/>
  <c r="E42" i="4"/>
  <c r="F41" i="4"/>
  <c r="C41" i="4"/>
  <c r="E35" i="4"/>
  <c r="F34" i="4"/>
  <c r="C34" i="4"/>
  <c r="E28" i="4"/>
  <c r="F27" i="4"/>
  <c r="C27" i="4"/>
  <c r="E21" i="4"/>
  <c r="F20" i="4"/>
  <c r="C20" i="4"/>
  <c r="E14" i="4"/>
  <c r="F13" i="4"/>
  <c r="C13" i="4"/>
  <c r="E7" i="4"/>
  <c r="F6" i="4"/>
  <c r="C6" i="4"/>
  <c r="F559" i="3"/>
  <c r="F552" i="3"/>
  <c r="F545" i="3"/>
  <c r="F538" i="3"/>
  <c r="F531" i="3"/>
  <c r="F524" i="3"/>
  <c r="F517" i="3"/>
  <c r="F510" i="3"/>
  <c r="F503" i="3"/>
  <c r="F496" i="3"/>
  <c r="F489" i="3"/>
  <c r="H489" i="3" s="1"/>
  <c r="F482" i="3"/>
  <c r="F475" i="3"/>
  <c r="H475" i="3" s="1"/>
  <c r="F468" i="3"/>
  <c r="F461" i="3"/>
  <c r="H461" i="3" s="1"/>
  <c r="F454" i="3"/>
  <c r="H447" i="3"/>
  <c r="F447" i="3"/>
  <c r="F440" i="3"/>
  <c r="F433" i="3"/>
  <c r="H433" i="3" s="1"/>
  <c r="F426" i="3"/>
  <c r="F419" i="3"/>
  <c r="H419" i="3" s="1"/>
  <c r="F412" i="3"/>
  <c r="F405" i="3"/>
  <c r="H405" i="3" s="1"/>
  <c r="F398" i="3"/>
  <c r="F391" i="3"/>
  <c r="H391" i="3" s="1"/>
  <c r="F384" i="3"/>
  <c r="F377" i="3"/>
  <c r="H377" i="3" s="1"/>
  <c r="F370" i="3"/>
  <c r="F363" i="3"/>
  <c r="H363" i="3" s="1"/>
  <c r="F356" i="3"/>
  <c r="F349" i="3"/>
  <c r="H349" i="3" s="1"/>
  <c r="F342" i="3"/>
  <c r="H335" i="3"/>
  <c r="F335" i="3"/>
  <c r="F328" i="3"/>
  <c r="F321" i="3"/>
  <c r="H321" i="3" s="1"/>
  <c r="F314" i="3"/>
  <c r="F307" i="3"/>
  <c r="H307" i="3" s="1"/>
  <c r="F300" i="3"/>
  <c r="F293" i="3"/>
  <c r="H293" i="3" s="1"/>
  <c r="F286" i="3"/>
  <c r="F279" i="3"/>
  <c r="H279" i="3" s="1"/>
  <c r="F272" i="3"/>
  <c r="G265" i="3"/>
  <c r="I265" i="3" s="1"/>
  <c r="F265" i="3"/>
  <c r="H265" i="3" s="1"/>
  <c r="F258" i="3"/>
  <c r="H258" i="3" s="1"/>
  <c r="F251" i="3"/>
  <c r="H251" i="3" s="1"/>
  <c r="F244" i="3"/>
  <c r="H244" i="3" s="1"/>
  <c r="F237" i="3"/>
  <c r="G237" i="3" s="1"/>
  <c r="I237" i="3" s="1"/>
  <c r="F230" i="3"/>
  <c r="G230" i="3" s="1"/>
  <c r="F223" i="3"/>
  <c r="G223" i="3" s="1"/>
  <c r="I223" i="3" s="1"/>
  <c r="F216" i="3"/>
  <c r="H216" i="3" s="1"/>
  <c r="F209" i="3"/>
  <c r="F202" i="3"/>
  <c r="G202" i="3" s="1"/>
  <c r="F195" i="3"/>
  <c r="H195" i="3" s="1"/>
  <c r="F188" i="3"/>
  <c r="H188" i="3" s="1"/>
  <c r="F181" i="3"/>
  <c r="F174" i="3"/>
  <c r="F167" i="3"/>
  <c r="H167" i="3" s="1"/>
  <c r="F160" i="3"/>
  <c r="H160" i="3" s="1"/>
  <c r="F153" i="3"/>
  <c r="G153" i="3" s="1"/>
  <c r="I153" i="3" s="1"/>
  <c r="F146" i="3"/>
  <c r="G146" i="3" s="1"/>
  <c r="H139" i="3"/>
  <c r="F139" i="3"/>
  <c r="G139" i="3" s="1"/>
  <c r="I139" i="3" s="1"/>
  <c r="F132" i="3"/>
  <c r="H132" i="3" s="1"/>
  <c r="H125" i="3"/>
  <c r="M125" i="3" s="1"/>
  <c r="F125" i="3"/>
  <c r="F118" i="3"/>
  <c r="H118" i="3" s="1"/>
  <c r="M118" i="3" s="1"/>
  <c r="F111" i="3"/>
  <c r="H111" i="3" s="1"/>
  <c r="M111" i="3" s="1"/>
  <c r="F104" i="3"/>
  <c r="G104" i="3" s="1"/>
  <c r="I104" i="3" s="1"/>
  <c r="F97" i="3"/>
  <c r="F90" i="3"/>
  <c r="G90" i="3" s="1"/>
  <c r="F83" i="3"/>
  <c r="G83" i="3" s="1"/>
  <c r="F76" i="3"/>
  <c r="G76" i="3" s="1"/>
  <c r="F69" i="3"/>
  <c r="G69" i="3" s="1"/>
  <c r="F62" i="3"/>
  <c r="G62" i="3" s="1"/>
  <c r="F55" i="3"/>
  <c r="G55" i="3" s="1"/>
  <c r="F48" i="3"/>
  <c r="G48" i="3" s="1"/>
  <c r="F41" i="3"/>
  <c r="G41" i="3" s="1"/>
  <c r="F34" i="3"/>
  <c r="G34" i="3" s="1"/>
  <c r="F27" i="3"/>
  <c r="G27" i="3" s="1"/>
  <c r="F20" i="3"/>
  <c r="G20" i="3" s="1"/>
  <c r="F13" i="3"/>
  <c r="F6" i="3"/>
  <c r="G251" i="3" l="1"/>
  <c r="I251" i="3" s="1"/>
  <c r="C251" i="4" s="1"/>
  <c r="H223" i="3"/>
  <c r="G167" i="3"/>
  <c r="I167" i="3" s="1"/>
  <c r="G181" i="3"/>
  <c r="I181" i="3" s="1"/>
  <c r="G195" i="3"/>
  <c r="I195" i="3" s="1"/>
  <c r="G209" i="3"/>
  <c r="I209" i="3" s="1"/>
  <c r="M258" i="3"/>
  <c r="H104" i="3"/>
  <c r="M104" i="3" s="1"/>
  <c r="J153" i="3"/>
  <c r="G174" i="3"/>
  <c r="J174" i="3" s="1"/>
  <c r="K174" i="3" s="1"/>
  <c r="L174" i="3" s="1"/>
  <c r="J209" i="3"/>
  <c r="K209" i="3" s="1"/>
  <c r="L209" i="3" s="1"/>
  <c r="J237" i="3"/>
  <c r="K237" i="3" s="1"/>
  <c r="G258" i="3"/>
  <c r="I258" i="3" s="1"/>
  <c r="J202" i="3"/>
  <c r="J230" i="3"/>
  <c r="K230" i="3" s="1"/>
  <c r="L230" i="3" s="1"/>
  <c r="H230" i="3"/>
  <c r="M230" i="3" s="1"/>
  <c r="M244" i="3"/>
  <c r="J146" i="3"/>
  <c r="K146" i="3" s="1"/>
  <c r="M202" i="3"/>
  <c r="J125" i="3"/>
  <c r="K125" i="3" s="1"/>
  <c r="M132" i="3"/>
  <c r="H146" i="3"/>
  <c r="M146" i="3" s="1"/>
  <c r="M160" i="3"/>
  <c r="H174" i="3"/>
  <c r="M174" i="3" s="1"/>
  <c r="M188" i="3"/>
  <c r="H202" i="3"/>
  <c r="M216" i="3"/>
  <c r="G111" i="3"/>
  <c r="J111" i="3" s="1"/>
  <c r="G118" i="3"/>
  <c r="I118" i="3" s="1"/>
  <c r="G125" i="3"/>
  <c r="I125" i="3" s="1"/>
  <c r="G132" i="3"/>
  <c r="I132" i="3" s="1"/>
  <c r="J139" i="3"/>
  <c r="M139" i="3"/>
  <c r="I146" i="3"/>
  <c r="H153" i="3"/>
  <c r="M153" i="3" s="1"/>
  <c r="G160" i="3"/>
  <c r="I160" i="3" s="1"/>
  <c r="J167" i="3"/>
  <c r="K167" i="3" s="1"/>
  <c r="L167" i="3" s="1"/>
  <c r="M167" i="3"/>
  <c r="H181" i="3"/>
  <c r="M181" i="3" s="1"/>
  <c r="G188" i="3"/>
  <c r="J188" i="3" s="1"/>
  <c r="K188" i="3" s="1"/>
  <c r="L188" i="3" s="1"/>
  <c r="J195" i="3"/>
  <c r="K195" i="3" s="1"/>
  <c r="M195" i="3"/>
  <c r="I202" i="3"/>
  <c r="H209" i="3"/>
  <c r="M209" i="3" s="1"/>
  <c r="G216" i="3"/>
  <c r="J216" i="3" s="1"/>
  <c r="J223" i="3"/>
  <c r="M223" i="3"/>
  <c r="I230" i="3"/>
  <c r="H237" i="3"/>
  <c r="M237" i="3" s="1"/>
  <c r="G244" i="3"/>
  <c r="I244" i="3" s="1"/>
  <c r="J251" i="3"/>
  <c r="K251" i="3" s="1"/>
  <c r="M251" i="3"/>
  <c r="E252" i="4" s="1"/>
  <c r="G279" i="3"/>
  <c r="J279" i="3" s="1"/>
  <c r="G293" i="3"/>
  <c r="J293" i="3" s="1"/>
  <c r="K293" i="3" s="1"/>
  <c r="L293" i="3" s="1"/>
  <c r="G307" i="3"/>
  <c r="J307" i="3" s="1"/>
  <c r="G321" i="3"/>
  <c r="J321" i="3" s="1"/>
  <c r="K321" i="3" s="1"/>
  <c r="L321" i="3" s="1"/>
  <c r="G335" i="3"/>
  <c r="J335" i="3" s="1"/>
  <c r="G349" i="3"/>
  <c r="J349" i="3" s="1"/>
  <c r="K349" i="3" s="1"/>
  <c r="L349" i="3" s="1"/>
  <c r="G363" i="3"/>
  <c r="J363" i="3" s="1"/>
  <c r="G377" i="3"/>
  <c r="J377" i="3" s="1"/>
  <c r="K377" i="3" s="1"/>
  <c r="L377" i="3" s="1"/>
  <c r="F377" i="4" s="1"/>
  <c r="G391" i="3"/>
  <c r="J391" i="3" s="1"/>
  <c r="G405" i="3"/>
  <c r="J405" i="3" s="1"/>
  <c r="K405" i="3" s="1"/>
  <c r="L405" i="3" s="1"/>
  <c r="G419" i="3"/>
  <c r="J419" i="3" s="1"/>
  <c r="G433" i="3"/>
  <c r="J433" i="3" s="1"/>
  <c r="K433" i="3" s="1"/>
  <c r="L433" i="3" s="1"/>
  <c r="G447" i="3"/>
  <c r="J447" i="3" s="1"/>
  <c r="G461" i="3"/>
  <c r="J461" i="3" s="1"/>
  <c r="K461" i="3" s="1"/>
  <c r="L461" i="3" s="1"/>
  <c r="G475" i="3"/>
  <c r="J475" i="3" s="1"/>
  <c r="G489" i="3"/>
  <c r="J489" i="3" s="1"/>
  <c r="K489" i="3" s="1"/>
  <c r="L489" i="3" s="1"/>
  <c r="G503" i="3"/>
  <c r="J503" i="3" s="1"/>
  <c r="K503" i="3" s="1"/>
  <c r="L503" i="3" s="1"/>
  <c r="J20" i="3"/>
  <c r="J48" i="3"/>
  <c r="J55" i="3"/>
  <c r="J76" i="3"/>
  <c r="J83" i="3"/>
  <c r="J90" i="3"/>
  <c r="G6" i="3"/>
  <c r="H20" i="3"/>
  <c r="M20" i="3" s="1"/>
  <c r="H27" i="3"/>
  <c r="M27" i="3" s="1"/>
  <c r="H48" i="3"/>
  <c r="M48" i="3" s="1"/>
  <c r="H55" i="3"/>
  <c r="H62" i="3"/>
  <c r="M62" i="3" s="1"/>
  <c r="H69" i="3"/>
  <c r="M69" i="3" s="1"/>
  <c r="H76" i="3"/>
  <c r="M76" i="3" s="1"/>
  <c r="H83" i="3"/>
  <c r="M83" i="3" s="1"/>
  <c r="H90" i="3"/>
  <c r="K202" i="3"/>
  <c r="L202" i="3" s="1"/>
  <c r="J6" i="3"/>
  <c r="J69" i="3"/>
  <c r="G97" i="3"/>
  <c r="I97" i="3" s="1"/>
  <c r="G13" i="3"/>
  <c r="J13" i="3" s="1"/>
  <c r="H6" i="3"/>
  <c r="M6" i="3" s="1"/>
  <c r="H13" i="3"/>
  <c r="M13" i="3" s="1"/>
  <c r="H34" i="3"/>
  <c r="H41" i="3"/>
  <c r="M41" i="3" s="1"/>
  <c r="I6" i="3"/>
  <c r="I20" i="3"/>
  <c r="I27" i="3"/>
  <c r="I34" i="3"/>
  <c r="M34" i="3"/>
  <c r="I41" i="3"/>
  <c r="I48" i="3"/>
  <c r="I55" i="3"/>
  <c r="M55" i="3"/>
  <c r="I62" i="3"/>
  <c r="I69" i="3"/>
  <c r="I76" i="3"/>
  <c r="I83" i="3"/>
  <c r="I90" i="3"/>
  <c r="M90" i="3"/>
  <c r="K153" i="3"/>
  <c r="L153" i="3" s="1"/>
  <c r="J41" i="3"/>
  <c r="J62" i="3"/>
  <c r="J27" i="3"/>
  <c r="J34" i="3"/>
  <c r="H97" i="3"/>
  <c r="M97" i="3" s="1"/>
  <c r="K139" i="3"/>
  <c r="K223" i="3"/>
  <c r="L223" i="3" s="1"/>
  <c r="H510" i="3"/>
  <c r="M510" i="3" s="1"/>
  <c r="H517" i="3"/>
  <c r="M517" i="3" s="1"/>
  <c r="H524" i="3"/>
  <c r="M524" i="3" s="1"/>
  <c r="H531" i="3"/>
  <c r="M531" i="3" s="1"/>
  <c r="H538" i="3"/>
  <c r="M538" i="3" s="1"/>
  <c r="H545" i="3"/>
  <c r="M545" i="3" s="1"/>
  <c r="H552" i="3"/>
  <c r="M552" i="3" s="1"/>
  <c r="H559" i="3"/>
  <c r="M559" i="3" s="1"/>
  <c r="H503" i="3"/>
  <c r="M503" i="3" s="1"/>
  <c r="G510" i="3"/>
  <c r="I510" i="3" s="1"/>
  <c r="G517" i="3"/>
  <c r="I517" i="3" s="1"/>
  <c r="G524" i="3"/>
  <c r="I524" i="3" s="1"/>
  <c r="G531" i="3"/>
  <c r="I531" i="3" s="1"/>
  <c r="G538" i="3"/>
  <c r="I538" i="3" s="1"/>
  <c r="G545" i="3"/>
  <c r="I545" i="3" s="1"/>
  <c r="G552" i="3"/>
  <c r="I552" i="3" s="1"/>
  <c r="G559" i="3"/>
  <c r="I559" i="3" s="1"/>
  <c r="J104" i="3"/>
  <c r="M265" i="3"/>
  <c r="J265" i="3"/>
  <c r="G272" i="3"/>
  <c r="I272" i="3" s="1"/>
  <c r="G286" i="3"/>
  <c r="J286" i="3" s="1"/>
  <c r="G300" i="3"/>
  <c r="J300" i="3" s="1"/>
  <c r="G314" i="3"/>
  <c r="J314" i="3" s="1"/>
  <c r="G328" i="3"/>
  <c r="J328" i="3" s="1"/>
  <c r="G342" i="3"/>
  <c r="J342" i="3" s="1"/>
  <c r="G356" i="3"/>
  <c r="J356" i="3" s="1"/>
  <c r="G370" i="3"/>
  <c r="J370" i="3" s="1"/>
  <c r="G384" i="3"/>
  <c r="J384" i="3" s="1"/>
  <c r="G398" i="3"/>
  <c r="J398" i="3" s="1"/>
  <c r="G412" i="3"/>
  <c r="J412" i="3" s="1"/>
  <c r="G426" i="3"/>
  <c r="J426" i="3" s="1"/>
  <c r="G440" i="3"/>
  <c r="J440" i="3" s="1"/>
  <c r="G454" i="3"/>
  <c r="J454" i="3" s="1"/>
  <c r="G468" i="3"/>
  <c r="J468" i="3" s="1"/>
  <c r="G482" i="3"/>
  <c r="J482" i="3" s="1"/>
  <c r="G496" i="3"/>
  <c r="J496" i="3" s="1"/>
  <c r="J510" i="3"/>
  <c r="J517" i="3"/>
  <c r="J524" i="3"/>
  <c r="J531" i="3"/>
  <c r="J538" i="3"/>
  <c r="J545" i="3"/>
  <c r="J552" i="3"/>
  <c r="J559" i="3"/>
  <c r="H272" i="3"/>
  <c r="M272" i="3" s="1"/>
  <c r="M279" i="3"/>
  <c r="I279" i="3"/>
  <c r="H286" i="3"/>
  <c r="M286" i="3" s="1"/>
  <c r="M293" i="3"/>
  <c r="H300" i="3"/>
  <c r="M300" i="3" s="1"/>
  <c r="M307" i="3"/>
  <c r="H314" i="3"/>
  <c r="M314" i="3" s="1"/>
  <c r="E315" i="4" s="1"/>
  <c r="M321" i="3"/>
  <c r="I321" i="3"/>
  <c r="H328" i="3"/>
  <c r="M328" i="3" s="1"/>
  <c r="E329" i="4" s="1"/>
  <c r="M335" i="3"/>
  <c r="H342" i="3"/>
  <c r="M342" i="3" s="1"/>
  <c r="M349" i="3"/>
  <c r="H356" i="3"/>
  <c r="M356" i="3" s="1"/>
  <c r="E357" i="4" s="1"/>
  <c r="M363" i="3"/>
  <c r="I363" i="3"/>
  <c r="H370" i="3"/>
  <c r="M370" i="3" s="1"/>
  <c r="M377" i="3"/>
  <c r="E378" i="4" s="1"/>
  <c r="H384" i="3"/>
  <c r="M384" i="3" s="1"/>
  <c r="E385" i="4" s="1"/>
  <c r="M391" i="3"/>
  <c r="E392" i="4" s="1"/>
  <c r="H398" i="3"/>
  <c r="M398" i="3" s="1"/>
  <c r="M405" i="3"/>
  <c r="H412" i="3"/>
  <c r="M412" i="3" s="1"/>
  <c r="E413" i="4" s="1"/>
  <c r="M419" i="3"/>
  <c r="H426" i="3"/>
  <c r="M426" i="3" s="1"/>
  <c r="E427" i="4" s="1"/>
  <c r="M433" i="3"/>
  <c r="I433" i="3"/>
  <c r="H440" i="3"/>
  <c r="M440" i="3" s="1"/>
  <c r="E441" i="4" s="1"/>
  <c r="M447" i="3"/>
  <c r="H454" i="3"/>
  <c r="M454" i="3" s="1"/>
  <c r="M461" i="3"/>
  <c r="H468" i="3"/>
  <c r="M468" i="3" s="1"/>
  <c r="E469" i="4" s="1"/>
  <c r="M475" i="3"/>
  <c r="H482" i="3"/>
  <c r="M482" i="3" s="1"/>
  <c r="M489" i="3"/>
  <c r="H496" i="3"/>
  <c r="M496" i="3" s="1"/>
  <c r="I503" i="3"/>
  <c r="I447" i="3" l="1"/>
  <c r="L195" i="3"/>
  <c r="I489" i="3"/>
  <c r="I377" i="3"/>
  <c r="C377" i="4" s="1"/>
  <c r="I335" i="3"/>
  <c r="L146" i="3"/>
  <c r="I216" i="3"/>
  <c r="I391" i="3"/>
  <c r="C391" i="4" s="1"/>
  <c r="I314" i="3"/>
  <c r="C314" i="4" s="1"/>
  <c r="I188" i="3"/>
  <c r="I419" i="3"/>
  <c r="I475" i="3"/>
  <c r="I174" i="3"/>
  <c r="J258" i="3"/>
  <c r="K258" i="3" s="1"/>
  <c r="L258" i="3" s="1"/>
  <c r="L139" i="3"/>
  <c r="I307" i="3"/>
  <c r="J181" i="3"/>
  <c r="K181" i="3" s="1"/>
  <c r="K447" i="3"/>
  <c r="L447" i="3"/>
  <c r="K335" i="3"/>
  <c r="L335" i="3" s="1"/>
  <c r="K216" i="3"/>
  <c r="L216" i="3"/>
  <c r="K391" i="3"/>
  <c r="L391" i="3" s="1"/>
  <c r="F391" i="4" s="1"/>
  <c r="K279" i="3"/>
  <c r="L279" i="3" s="1"/>
  <c r="K475" i="3"/>
  <c r="L475" i="3"/>
  <c r="K419" i="3"/>
  <c r="L419" i="3" s="1"/>
  <c r="K363" i="3"/>
  <c r="L363" i="3" s="1"/>
  <c r="K307" i="3"/>
  <c r="L307" i="3" s="1"/>
  <c r="K111" i="3"/>
  <c r="L111" i="3"/>
  <c r="I482" i="3"/>
  <c r="L251" i="3"/>
  <c r="F251" i="4" s="1"/>
  <c r="L181" i="3"/>
  <c r="J118" i="3"/>
  <c r="J244" i="3"/>
  <c r="K244" i="3" s="1"/>
  <c r="L244" i="3" s="1"/>
  <c r="J160" i="3"/>
  <c r="I461" i="3"/>
  <c r="I405" i="3"/>
  <c r="I349" i="3"/>
  <c r="I293" i="3"/>
  <c r="I426" i="3"/>
  <c r="C426" i="4" s="1"/>
  <c r="L237" i="3"/>
  <c r="J132" i="3"/>
  <c r="K132" i="3" s="1"/>
  <c r="L132" i="3" s="1"/>
  <c r="I111" i="3"/>
  <c r="I370" i="3"/>
  <c r="L125" i="3"/>
  <c r="K13" i="3"/>
  <c r="L13" i="3" s="1"/>
  <c r="K510" i="3"/>
  <c r="L510" i="3" s="1"/>
  <c r="K342" i="3"/>
  <c r="L342" i="3" s="1"/>
  <c r="I454" i="3"/>
  <c r="I398" i="3"/>
  <c r="I342" i="3"/>
  <c r="K545" i="3"/>
  <c r="L545" i="3" s="1"/>
  <c r="K517" i="3"/>
  <c r="L517" i="3" s="1"/>
  <c r="K468" i="3"/>
  <c r="L468" i="3" s="1"/>
  <c r="F468" i="4" s="1"/>
  <c r="K412" i="3"/>
  <c r="L412" i="3" s="1"/>
  <c r="F412" i="4" s="1"/>
  <c r="K356" i="3"/>
  <c r="L356" i="3" s="1"/>
  <c r="F356" i="4" s="1"/>
  <c r="K300" i="3"/>
  <c r="L300" i="3" s="1"/>
  <c r="K34" i="3"/>
  <c r="L34" i="3" s="1"/>
  <c r="J272" i="3"/>
  <c r="J97" i="3"/>
  <c r="K6" i="3"/>
  <c r="L6" i="3" s="1"/>
  <c r="K83" i="3"/>
  <c r="L83" i="3" s="1"/>
  <c r="K20" i="3"/>
  <c r="L20" i="3"/>
  <c r="K454" i="3"/>
  <c r="L454" i="3" s="1"/>
  <c r="K286" i="3"/>
  <c r="L286" i="3" s="1"/>
  <c r="K27" i="3"/>
  <c r="L27" i="3" s="1"/>
  <c r="K76" i="3"/>
  <c r="L76" i="3" s="1"/>
  <c r="K559" i="3"/>
  <c r="L559" i="3" s="1"/>
  <c r="K531" i="3"/>
  <c r="L531" i="3" s="1"/>
  <c r="K496" i="3"/>
  <c r="L496" i="3" s="1"/>
  <c r="K440" i="3"/>
  <c r="L440" i="3" s="1"/>
  <c r="F440" i="4" s="1"/>
  <c r="K384" i="3"/>
  <c r="L384" i="3" s="1"/>
  <c r="F384" i="4" s="1"/>
  <c r="K328" i="3"/>
  <c r="L328" i="3" s="1"/>
  <c r="F328" i="4" s="1"/>
  <c r="K62" i="3"/>
  <c r="L62" i="3" s="1"/>
  <c r="K69" i="3"/>
  <c r="L69" i="3" s="1"/>
  <c r="K55" i="3"/>
  <c r="L55" i="3" s="1"/>
  <c r="K538" i="3"/>
  <c r="L538" i="3" s="1"/>
  <c r="K398" i="3"/>
  <c r="L398" i="3" s="1"/>
  <c r="K104" i="3"/>
  <c r="L104" i="3"/>
  <c r="I286" i="3"/>
  <c r="K552" i="3"/>
  <c r="L552" i="3" s="1"/>
  <c r="K524" i="3"/>
  <c r="L524" i="3" s="1"/>
  <c r="K482" i="3"/>
  <c r="L482" i="3" s="1"/>
  <c r="K426" i="3"/>
  <c r="L426" i="3" s="1"/>
  <c r="F426" i="4" s="1"/>
  <c r="K370" i="3"/>
  <c r="L370" i="3" s="1"/>
  <c r="K314" i="3"/>
  <c r="L314" i="3" s="1"/>
  <c r="F314" i="4" s="1"/>
  <c r="K265" i="3"/>
  <c r="L265" i="3" s="1"/>
  <c r="I496" i="3"/>
  <c r="I468" i="3"/>
  <c r="C468" i="4" s="1"/>
  <c r="I440" i="3"/>
  <c r="C440" i="4" s="1"/>
  <c r="I412" i="3"/>
  <c r="C412" i="4" s="1"/>
  <c r="I384" i="3"/>
  <c r="C384" i="4" s="1"/>
  <c r="I356" i="3"/>
  <c r="C356" i="4" s="1"/>
  <c r="I328" i="3"/>
  <c r="C328" i="4" s="1"/>
  <c r="I300" i="3"/>
  <c r="K41" i="3"/>
  <c r="L41" i="3" s="1"/>
  <c r="I13" i="3"/>
  <c r="K90" i="3"/>
  <c r="L90" i="3" s="1"/>
  <c r="K48" i="3"/>
  <c r="L48" i="3" s="1"/>
  <c r="K160" i="3" l="1"/>
  <c r="L160" i="3" s="1"/>
  <c r="K118" i="3"/>
  <c r="L118" i="3" s="1"/>
  <c r="K272" i="3"/>
  <c r="L272" i="3" s="1"/>
  <c r="K97" i="3"/>
  <c r="L97" i="3" s="1"/>
</calcChain>
</file>

<file path=xl/sharedStrings.xml><?xml version="1.0" encoding="utf-8"?>
<sst xmlns="http://schemas.openxmlformats.org/spreadsheetml/2006/main" count="170" uniqueCount="91">
  <si>
    <t>to</t>
  </si>
  <si>
    <t>Zagrab to Munchen: 4</t>
  </si>
  <si>
    <t>Bruxelles to Essen: 4</t>
  </si>
  <si>
    <t>Budapest to Sofia: 5</t>
  </si>
  <si>
    <t>Wilno to Moskva: 5          (big city)</t>
  </si>
  <si>
    <t>Moskva to Kyiv: 5          (big city)</t>
  </si>
  <si>
    <t>Angora to Bucuresti: 5          (big city)</t>
  </si>
  <si>
    <t>Paris to Venezia: 5          (big city)</t>
  </si>
  <si>
    <t>Warszawa to Rica: 5</t>
  </si>
  <si>
    <t>Frankfurt to Roma: 6          (big city)</t>
  </si>
  <si>
    <t>Munchen to London: 6          (big city)</t>
  </si>
  <si>
    <t>Edinburgh to Dieppe: 6</t>
  </si>
  <si>
    <t>Rica to Kyiv: 6</t>
  </si>
  <si>
    <t>Frankfurt to Zagrab: 6</t>
  </si>
  <si>
    <t>Zurich to Brindisi: 6</t>
  </si>
  <si>
    <t>Marseille to Wien: 7          (big city)</t>
  </si>
  <si>
    <t>Wien to Kyiv: 7          (big city)</t>
  </si>
  <si>
    <t>Barcelona to Dieppe: 7</t>
  </si>
  <si>
    <t>Roma to Smyrna: 8          (big city)</t>
  </si>
  <si>
    <t>Roma to Pamplona: 8          (big city)</t>
  </si>
  <si>
    <t>Roma to Bruxelles: 8          (big city)</t>
  </si>
  <si>
    <t>Berlin to Kyiv: 8          (big city)</t>
  </si>
  <si>
    <t>Wilno to Constantinople: 9</t>
  </si>
  <si>
    <t>Sarajevo to Frankfurt: 9</t>
  </si>
  <si>
    <t>Dieppe to Kobenhavn: 9</t>
  </si>
  <si>
    <t>Roma to Bucuresti: 10          (big city)</t>
  </si>
  <si>
    <t>Zagrab to Sevastopol: 10</t>
  </si>
  <si>
    <t>Sofia to Warszawa: 10</t>
  </si>
  <si>
    <t>Budapest to London: 10          (big city)</t>
  </si>
  <si>
    <t>Paris to Lisboa: 10          (big city)</t>
  </si>
  <si>
    <t>Paris to Danzic: 10          (big city)</t>
  </si>
  <si>
    <t>Smyrna to Wien: 10          (big city)</t>
  </si>
  <si>
    <t>Wien to Petrograd: 11          (big city)</t>
  </si>
  <si>
    <t>Frankfurt to Sofia: 11</t>
  </si>
  <si>
    <t>Zagrab to Rica: 11</t>
  </si>
  <si>
    <t>Wien to Pamplona: 11          (big city)</t>
  </si>
  <si>
    <t>Angora to Smolensk: 12          (big city)</t>
  </si>
  <si>
    <t>Wilno to Kobenhavn: 12</t>
  </si>
  <si>
    <t>Pamplona to Palermo: 12</t>
  </si>
  <si>
    <t>Roma to Kyiv: 12          (big city)</t>
  </si>
  <si>
    <t>Sevastopol to Brindisi: 12</t>
  </si>
  <si>
    <t>Budapest to Petrograd: 12</t>
  </si>
  <si>
    <t>Zurich to Constantinople: 12</t>
  </si>
  <si>
    <t>Marseille to Danzic: 13</t>
  </si>
  <si>
    <t>Stockholm to Zagrab: 13</t>
  </si>
  <si>
    <t>Amsterdam to Cadiz: 13</t>
  </si>
  <si>
    <t>Berlin to Madrid: 13          (big city)</t>
  </si>
  <si>
    <t>Athina to Essen: 13          (big city)</t>
  </si>
  <si>
    <t>Paris to Wilno: 13          (big city)</t>
  </si>
  <si>
    <t>Berlin to Angora: 13          (big city)</t>
  </si>
  <si>
    <t>Berlin to Rostov: 14          (big city)</t>
  </si>
  <si>
    <t>Moskva to Athina: 14          (big city)</t>
  </si>
  <si>
    <t>Pamplona to Stockholm: 15</t>
  </si>
  <si>
    <t>Moskva to Kobenhavn: 15          (big city)</t>
  </si>
  <si>
    <t>Essen to Lisboa: 15</t>
  </si>
  <si>
    <t>Zurich to Petrograd: 16</t>
  </si>
  <si>
    <t>Erzurum to Berlin: 16          (big city)</t>
  </si>
  <si>
    <t>Athina to Brest: 16          (big city)</t>
  </si>
  <si>
    <t>Warszawa to Madrid: 17          (big city)</t>
  </si>
  <si>
    <t>Amsterdam to Kharkov: 17</t>
  </si>
  <si>
    <t>Angora to Bruxelles: 17          (big city)</t>
  </si>
  <si>
    <t>Angora to Paris: 17          (big city)</t>
  </si>
  <si>
    <t>Bucuresti to Edinburgh: 18</t>
  </si>
  <si>
    <t>London to Smyrna: 18          (big city)</t>
  </si>
  <si>
    <t>Dieppe to Petrograd: 18</t>
  </si>
  <si>
    <t>Paris to Moskva: 18          (big city)</t>
  </si>
  <si>
    <t>Madrid to Constantinople: 20          (big city)</t>
  </si>
  <si>
    <t>Erzurum to Paris: 20          (big city)</t>
  </si>
  <si>
    <t>Cadiz to Smyrna: 21</t>
  </si>
  <si>
    <t>Sochi to Barcelona: 22</t>
  </si>
  <si>
    <t>Raw</t>
  </si>
  <si>
    <t>Stripped</t>
  </si>
  <si>
    <t>City 1</t>
  </si>
  <si>
    <t>City 2</t>
  </si>
  <si>
    <t>Points</t>
  </si>
  <si>
    <t>ID</t>
  </si>
  <si>
    <t>space to spaceto</t>
  </si>
  <si>
    <t>Colon</t>
  </si>
  <si>
    <t>City 2 to end</t>
  </si>
  <si>
    <t>New Colon</t>
  </si>
  <si>
    <t>Palermo to Angora: 9          (big city)</t>
  </si>
  <si>
    <t>Kharkov to Sochi: 4</t>
  </si>
  <si>
    <t>London to Roma: 10</t>
  </si>
  <si>
    <t>London to Paris: 3</t>
  </si>
  <si>
    <t>Wien to Athina: 8</t>
  </si>
  <si>
    <t>Madrid to Venezia: 10</t>
  </si>
  <si>
    <t>Smolensk to Rostov: 8          (big city)</t>
  </si>
  <si>
    <t>Brest to Frankfurt: 6          (big city)</t>
  </si>
  <si>
    <t>Brest to Marseille: 7          (big city)</t>
  </si>
  <si>
    <t>Edinburgh to Sarajevo: 17</t>
  </si>
  <si>
    <t>Venezia to Brindisi: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</si>
</sst>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badi"/>
      <family val="2"/>
    </font>
    <font>
      <sz val="12"/>
      <color theme="1"/>
      <name val="Abadi"/>
      <family val="2"/>
    </font>
    <font>
      <b/>
      <i/>
      <sz val="12"/>
      <color theme="1"/>
      <name val="Abadi"/>
      <family val="2"/>
    </font>
    <font>
      <i/>
      <sz val="18"/>
      <color theme="1"/>
      <name val="Abadi"/>
      <family val="2"/>
    </font>
    <font>
      <b/>
      <i/>
      <sz val="11"/>
      <color theme="1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 applyBorder="1"/>
    <xf numFmtId="0" fontId="2" fillId="0" borderId="0" xfId="0" applyFont="1"/>
    <xf numFmtId="0" fontId="2" fillId="0" borderId="4" xfId="0" applyFont="1" applyBorder="1"/>
    <xf numFmtId="0" fontId="2" fillId="0" borderId="5" xfId="0" applyFont="1" applyBorder="1"/>
    <xf numFmtId="0" fontId="5" fillId="0" borderId="0" xfId="0" applyFont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Continuous" vertical="center"/>
    </xf>
    <xf numFmtId="0" fontId="4" fillId="0" borderId="0" xfId="0" applyFont="1" applyFill="1" applyBorder="1" applyAlignment="1">
      <alignment horizontal="centerContinuous" vertical="center"/>
    </xf>
    <xf numFmtId="0" fontId="3" fillId="0" borderId="0" xfId="0" applyFont="1" applyFill="1" applyBorder="1" applyAlignment="1">
      <alignment horizontal="centerContinuous" vertic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95249</xdr:rowOff>
    </xdr:from>
    <xdr:to>
      <xdr:col>7</xdr:col>
      <xdr:colOff>0</xdr:colOff>
      <xdr:row>4</xdr:row>
      <xdr:rowOff>382731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1314F6-1FAB-42FF-8186-01D3202E6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</xdr:row>
      <xdr:rowOff>0</xdr:rowOff>
    </xdr:from>
    <xdr:to>
      <xdr:col>3</xdr:col>
      <xdr:colOff>1</xdr:colOff>
      <xdr:row>7</xdr:row>
      <xdr:rowOff>66839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EEDAA50-3A59-4B6E-8006-420111443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66839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51DD27C-5C77-4724-8E02-747473C85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9</xdr:row>
      <xdr:rowOff>95249</xdr:rowOff>
    </xdr:from>
    <xdr:ext cx="2533650" cy="773257"/>
    <xdr:pic>
      <xdr:nvPicPr>
        <xdr:cNvPr id="5" name="Picture 4">
          <a:extLst>
            <a:ext uri="{FF2B5EF4-FFF2-40B4-BE49-F238E27FC236}">
              <a16:creationId xmlns:a16="http://schemas.microsoft.com/office/drawing/2014/main" id="{1B7864A5-15A0-4B09-8DC3-A8D22DA63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13</xdr:row>
      <xdr:rowOff>0</xdr:rowOff>
    </xdr:from>
    <xdr:ext cx="571500" cy="362114"/>
    <xdr:pic>
      <xdr:nvPicPr>
        <xdr:cNvPr id="6" name="Picture 5">
          <a:extLst>
            <a:ext uri="{FF2B5EF4-FFF2-40B4-BE49-F238E27FC236}">
              <a16:creationId xmlns:a16="http://schemas.microsoft.com/office/drawing/2014/main" id="{59F9D757-0A33-41CE-B50B-F4D91BFCA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13</xdr:row>
      <xdr:rowOff>0</xdr:rowOff>
    </xdr:from>
    <xdr:ext cx="571500" cy="362114"/>
    <xdr:pic>
      <xdr:nvPicPr>
        <xdr:cNvPr id="7" name="Picture 6">
          <a:extLst>
            <a:ext uri="{FF2B5EF4-FFF2-40B4-BE49-F238E27FC236}">
              <a16:creationId xmlns:a16="http://schemas.microsoft.com/office/drawing/2014/main" id="{803F2729-A239-48CC-BA3C-DE87C318C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</xdr:row>
      <xdr:rowOff>95249</xdr:rowOff>
    </xdr:from>
    <xdr:ext cx="2533650" cy="773257"/>
    <xdr:pic>
      <xdr:nvPicPr>
        <xdr:cNvPr id="8" name="Picture 7">
          <a:extLst>
            <a:ext uri="{FF2B5EF4-FFF2-40B4-BE49-F238E27FC236}">
              <a16:creationId xmlns:a16="http://schemas.microsoft.com/office/drawing/2014/main" id="{ACE40172-A545-4090-A5B3-1107B63E0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20</xdr:row>
      <xdr:rowOff>0</xdr:rowOff>
    </xdr:from>
    <xdr:ext cx="571500" cy="362114"/>
    <xdr:pic>
      <xdr:nvPicPr>
        <xdr:cNvPr id="9" name="Picture 8">
          <a:extLst>
            <a:ext uri="{FF2B5EF4-FFF2-40B4-BE49-F238E27FC236}">
              <a16:creationId xmlns:a16="http://schemas.microsoft.com/office/drawing/2014/main" id="{59243085-B42D-4DD5-AA60-1792E19A9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20</xdr:row>
      <xdr:rowOff>0</xdr:rowOff>
    </xdr:from>
    <xdr:ext cx="571500" cy="362114"/>
    <xdr:pic>
      <xdr:nvPicPr>
        <xdr:cNvPr id="10" name="Picture 9">
          <a:extLst>
            <a:ext uri="{FF2B5EF4-FFF2-40B4-BE49-F238E27FC236}">
              <a16:creationId xmlns:a16="http://schemas.microsoft.com/office/drawing/2014/main" id="{4CD981B1-4A21-46E6-9FEF-3BE16DC4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</xdr:row>
      <xdr:rowOff>95249</xdr:rowOff>
    </xdr:from>
    <xdr:ext cx="2533650" cy="773257"/>
    <xdr:pic>
      <xdr:nvPicPr>
        <xdr:cNvPr id="11" name="Picture 10">
          <a:extLst>
            <a:ext uri="{FF2B5EF4-FFF2-40B4-BE49-F238E27FC236}">
              <a16:creationId xmlns:a16="http://schemas.microsoft.com/office/drawing/2014/main" id="{077AEF9A-E0F3-4330-866C-45045458E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27</xdr:row>
      <xdr:rowOff>0</xdr:rowOff>
    </xdr:from>
    <xdr:ext cx="571500" cy="362114"/>
    <xdr:pic>
      <xdr:nvPicPr>
        <xdr:cNvPr id="12" name="Picture 11">
          <a:extLst>
            <a:ext uri="{FF2B5EF4-FFF2-40B4-BE49-F238E27FC236}">
              <a16:creationId xmlns:a16="http://schemas.microsoft.com/office/drawing/2014/main" id="{3B7C6D9D-63BF-46A3-9E68-4AFE09177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27</xdr:row>
      <xdr:rowOff>0</xdr:rowOff>
    </xdr:from>
    <xdr:ext cx="571500" cy="362114"/>
    <xdr:pic>
      <xdr:nvPicPr>
        <xdr:cNvPr id="13" name="Picture 12">
          <a:extLst>
            <a:ext uri="{FF2B5EF4-FFF2-40B4-BE49-F238E27FC236}">
              <a16:creationId xmlns:a16="http://schemas.microsoft.com/office/drawing/2014/main" id="{5D2E17C4-D9DA-432C-BBAA-F83FA46F9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</xdr:row>
      <xdr:rowOff>95249</xdr:rowOff>
    </xdr:from>
    <xdr:ext cx="2533650" cy="773257"/>
    <xdr:pic>
      <xdr:nvPicPr>
        <xdr:cNvPr id="14" name="Picture 13">
          <a:extLst>
            <a:ext uri="{FF2B5EF4-FFF2-40B4-BE49-F238E27FC236}">
              <a16:creationId xmlns:a16="http://schemas.microsoft.com/office/drawing/2014/main" id="{F0B4D8AB-06D5-4A3F-BAC4-E6F3C1C2E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34</xdr:row>
      <xdr:rowOff>0</xdr:rowOff>
    </xdr:from>
    <xdr:ext cx="571500" cy="362114"/>
    <xdr:pic>
      <xdr:nvPicPr>
        <xdr:cNvPr id="15" name="Picture 14">
          <a:extLst>
            <a:ext uri="{FF2B5EF4-FFF2-40B4-BE49-F238E27FC236}">
              <a16:creationId xmlns:a16="http://schemas.microsoft.com/office/drawing/2014/main" id="{D3D5A7BF-1A35-49F0-B8F9-76A8BA1E9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34</xdr:row>
      <xdr:rowOff>0</xdr:rowOff>
    </xdr:from>
    <xdr:ext cx="571500" cy="362114"/>
    <xdr:pic>
      <xdr:nvPicPr>
        <xdr:cNvPr id="16" name="Picture 15">
          <a:extLst>
            <a:ext uri="{FF2B5EF4-FFF2-40B4-BE49-F238E27FC236}">
              <a16:creationId xmlns:a16="http://schemas.microsoft.com/office/drawing/2014/main" id="{D970FD63-7A26-489B-AD7A-419526527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</xdr:row>
      <xdr:rowOff>95249</xdr:rowOff>
    </xdr:from>
    <xdr:ext cx="2533650" cy="773257"/>
    <xdr:pic>
      <xdr:nvPicPr>
        <xdr:cNvPr id="17" name="Picture 16">
          <a:extLst>
            <a:ext uri="{FF2B5EF4-FFF2-40B4-BE49-F238E27FC236}">
              <a16:creationId xmlns:a16="http://schemas.microsoft.com/office/drawing/2014/main" id="{641CB4AF-8B83-4E73-B271-33AE9CC98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41</xdr:row>
      <xdr:rowOff>0</xdr:rowOff>
    </xdr:from>
    <xdr:ext cx="571500" cy="362114"/>
    <xdr:pic>
      <xdr:nvPicPr>
        <xdr:cNvPr id="18" name="Picture 17">
          <a:extLst>
            <a:ext uri="{FF2B5EF4-FFF2-40B4-BE49-F238E27FC236}">
              <a16:creationId xmlns:a16="http://schemas.microsoft.com/office/drawing/2014/main" id="{E569F879-7959-442A-B9D6-413884FB7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41</xdr:row>
      <xdr:rowOff>0</xdr:rowOff>
    </xdr:from>
    <xdr:ext cx="571500" cy="362114"/>
    <xdr:pic>
      <xdr:nvPicPr>
        <xdr:cNvPr id="19" name="Picture 18">
          <a:extLst>
            <a:ext uri="{FF2B5EF4-FFF2-40B4-BE49-F238E27FC236}">
              <a16:creationId xmlns:a16="http://schemas.microsoft.com/office/drawing/2014/main" id="{808BD4F9-DCBD-4AD2-8F80-A535EEC98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</xdr:row>
      <xdr:rowOff>95249</xdr:rowOff>
    </xdr:from>
    <xdr:ext cx="2533650" cy="773257"/>
    <xdr:pic>
      <xdr:nvPicPr>
        <xdr:cNvPr id="20" name="Picture 19">
          <a:extLst>
            <a:ext uri="{FF2B5EF4-FFF2-40B4-BE49-F238E27FC236}">
              <a16:creationId xmlns:a16="http://schemas.microsoft.com/office/drawing/2014/main" id="{CC0245C3-C1BA-42D5-AB38-AB9EBC000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48</xdr:row>
      <xdr:rowOff>0</xdr:rowOff>
    </xdr:from>
    <xdr:ext cx="571500" cy="362114"/>
    <xdr:pic>
      <xdr:nvPicPr>
        <xdr:cNvPr id="21" name="Picture 20">
          <a:extLst>
            <a:ext uri="{FF2B5EF4-FFF2-40B4-BE49-F238E27FC236}">
              <a16:creationId xmlns:a16="http://schemas.microsoft.com/office/drawing/2014/main" id="{18C37B65-FF06-44BE-BABC-B49A0F7B8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48</xdr:row>
      <xdr:rowOff>0</xdr:rowOff>
    </xdr:from>
    <xdr:ext cx="571500" cy="362114"/>
    <xdr:pic>
      <xdr:nvPicPr>
        <xdr:cNvPr id="22" name="Picture 21">
          <a:extLst>
            <a:ext uri="{FF2B5EF4-FFF2-40B4-BE49-F238E27FC236}">
              <a16:creationId xmlns:a16="http://schemas.microsoft.com/office/drawing/2014/main" id="{3695EC4B-C2D2-4F4C-B5B4-0F993D8DE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</xdr:row>
      <xdr:rowOff>95249</xdr:rowOff>
    </xdr:from>
    <xdr:ext cx="2533650" cy="773257"/>
    <xdr:pic>
      <xdr:nvPicPr>
        <xdr:cNvPr id="23" name="Picture 22">
          <a:extLst>
            <a:ext uri="{FF2B5EF4-FFF2-40B4-BE49-F238E27FC236}">
              <a16:creationId xmlns:a16="http://schemas.microsoft.com/office/drawing/2014/main" id="{5379F57D-94C9-46E0-A89A-34C837FDB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55</xdr:row>
      <xdr:rowOff>0</xdr:rowOff>
    </xdr:from>
    <xdr:ext cx="571500" cy="362114"/>
    <xdr:pic>
      <xdr:nvPicPr>
        <xdr:cNvPr id="24" name="Picture 23">
          <a:extLst>
            <a:ext uri="{FF2B5EF4-FFF2-40B4-BE49-F238E27FC236}">
              <a16:creationId xmlns:a16="http://schemas.microsoft.com/office/drawing/2014/main" id="{081B6BA2-2911-459B-BB26-46E78FBD0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55</xdr:row>
      <xdr:rowOff>0</xdr:rowOff>
    </xdr:from>
    <xdr:ext cx="571500" cy="362114"/>
    <xdr:pic>
      <xdr:nvPicPr>
        <xdr:cNvPr id="25" name="Picture 24">
          <a:extLst>
            <a:ext uri="{FF2B5EF4-FFF2-40B4-BE49-F238E27FC236}">
              <a16:creationId xmlns:a16="http://schemas.microsoft.com/office/drawing/2014/main" id="{767D8E52-D78E-4C0D-8268-29912CBA6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58</xdr:row>
      <xdr:rowOff>95249</xdr:rowOff>
    </xdr:from>
    <xdr:ext cx="2533650" cy="773257"/>
    <xdr:pic>
      <xdr:nvPicPr>
        <xdr:cNvPr id="26" name="Picture 25">
          <a:extLst>
            <a:ext uri="{FF2B5EF4-FFF2-40B4-BE49-F238E27FC236}">
              <a16:creationId xmlns:a16="http://schemas.microsoft.com/office/drawing/2014/main" id="{7E04A4E4-200A-4BE0-8D0A-DF0F49B4E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62</xdr:row>
      <xdr:rowOff>0</xdr:rowOff>
    </xdr:from>
    <xdr:ext cx="571500" cy="362114"/>
    <xdr:pic>
      <xdr:nvPicPr>
        <xdr:cNvPr id="27" name="Picture 26">
          <a:extLst>
            <a:ext uri="{FF2B5EF4-FFF2-40B4-BE49-F238E27FC236}">
              <a16:creationId xmlns:a16="http://schemas.microsoft.com/office/drawing/2014/main" id="{4A1BD0C3-8ABD-4EB1-B344-99EBBF18B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62</xdr:row>
      <xdr:rowOff>0</xdr:rowOff>
    </xdr:from>
    <xdr:ext cx="571500" cy="362114"/>
    <xdr:pic>
      <xdr:nvPicPr>
        <xdr:cNvPr id="28" name="Picture 27">
          <a:extLst>
            <a:ext uri="{FF2B5EF4-FFF2-40B4-BE49-F238E27FC236}">
              <a16:creationId xmlns:a16="http://schemas.microsoft.com/office/drawing/2014/main" id="{11252977-CE6F-4C3B-8DAD-85600F4C3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65</xdr:row>
      <xdr:rowOff>95249</xdr:rowOff>
    </xdr:from>
    <xdr:ext cx="2533650" cy="773257"/>
    <xdr:pic>
      <xdr:nvPicPr>
        <xdr:cNvPr id="29" name="Picture 28">
          <a:extLst>
            <a:ext uri="{FF2B5EF4-FFF2-40B4-BE49-F238E27FC236}">
              <a16:creationId xmlns:a16="http://schemas.microsoft.com/office/drawing/2014/main" id="{1C0997C0-B1BB-48F0-B008-5067AF8D1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69</xdr:row>
      <xdr:rowOff>0</xdr:rowOff>
    </xdr:from>
    <xdr:ext cx="571500" cy="362114"/>
    <xdr:pic>
      <xdr:nvPicPr>
        <xdr:cNvPr id="30" name="Picture 29">
          <a:extLst>
            <a:ext uri="{FF2B5EF4-FFF2-40B4-BE49-F238E27FC236}">
              <a16:creationId xmlns:a16="http://schemas.microsoft.com/office/drawing/2014/main" id="{8E7EA600-B906-46DB-8CF7-2FB18790B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69</xdr:row>
      <xdr:rowOff>0</xdr:rowOff>
    </xdr:from>
    <xdr:ext cx="571500" cy="362114"/>
    <xdr:pic>
      <xdr:nvPicPr>
        <xdr:cNvPr id="31" name="Picture 30">
          <a:extLst>
            <a:ext uri="{FF2B5EF4-FFF2-40B4-BE49-F238E27FC236}">
              <a16:creationId xmlns:a16="http://schemas.microsoft.com/office/drawing/2014/main" id="{9CBF0416-8919-4DEB-9601-F6D13084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72</xdr:row>
      <xdr:rowOff>95249</xdr:rowOff>
    </xdr:from>
    <xdr:ext cx="2533650" cy="773257"/>
    <xdr:pic>
      <xdr:nvPicPr>
        <xdr:cNvPr id="32" name="Picture 31">
          <a:extLst>
            <a:ext uri="{FF2B5EF4-FFF2-40B4-BE49-F238E27FC236}">
              <a16:creationId xmlns:a16="http://schemas.microsoft.com/office/drawing/2014/main" id="{360AF986-B5A6-4D2A-B937-DFA4AE576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76</xdr:row>
      <xdr:rowOff>0</xdr:rowOff>
    </xdr:from>
    <xdr:ext cx="571500" cy="362114"/>
    <xdr:pic>
      <xdr:nvPicPr>
        <xdr:cNvPr id="33" name="Picture 32">
          <a:extLst>
            <a:ext uri="{FF2B5EF4-FFF2-40B4-BE49-F238E27FC236}">
              <a16:creationId xmlns:a16="http://schemas.microsoft.com/office/drawing/2014/main" id="{C01B594B-7CE2-4FFB-A40C-97EF1922E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76</xdr:row>
      <xdr:rowOff>0</xdr:rowOff>
    </xdr:from>
    <xdr:ext cx="571500" cy="362114"/>
    <xdr:pic>
      <xdr:nvPicPr>
        <xdr:cNvPr id="34" name="Picture 33">
          <a:extLst>
            <a:ext uri="{FF2B5EF4-FFF2-40B4-BE49-F238E27FC236}">
              <a16:creationId xmlns:a16="http://schemas.microsoft.com/office/drawing/2014/main" id="{E2ABC44C-7ABF-4B25-932E-F0677B1A9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79</xdr:row>
      <xdr:rowOff>95249</xdr:rowOff>
    </xdr:from>
    <xdr:ext cx="2533650" cy="773257"/>
    <xdr:pic>
      <xdr:nvPicPr>
        <xdr:cNvPr id="35" name="Picture 34">
          <a:extLst>
            <a:ext uri="{FF2B5EF4-FFF2-40B4-BE49-F238E27FC236}">
              <a16:creationId xmlns:a16="http://schemas.microsoft.com/office/drawing/2014/main" id="{49EBBEB3-471C-4310-B54D-D0DB20E6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83</xdr:row>
      <xdr:rowOff>0</xdr:rowOff>
    </xdr:from>
    <xdr:ext cx="571500" cy="362114"/>
    <xdr:pic>
      <xdr:nvPicPr>
        <xdr:cNvPr id="36" name="Picture 35">
          <a:extLst>
            <a:ext uri="{FF2B5EF4-FFF2-40B4-BE49-F238E27FC236}">
              <a16:creationId xmlns:a16="http://schemas.microsoft.com/office/drawing/2014/main" id="{2569795D-A351-4A45-B1D3-9A7FFD272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83</xdr:row>
      <xdr:rowOff>0</xdr:rowOff>
    </xdr:from>
    <xdr:ext cx="571500" cy="362114"/>
    <xdr:pic>
      <xdr:nvPicPr>
        <xdr:cNvPr id="37" name="Picture 36">
          <a:extLst>
            <a:ext uri="{FF2B5EF4-FFF2-40B4-BE49-F238E27FC236}">
              <a16:creationId xmlns:a16="http://schemas.microsoft.com/office/drawing/2014/main" id="{C640A6C9-2AE4-4745-8236-1A1803C43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86</xdr:row>
      <xdr:rowOff>95249</xdr:rowOff>
    </xdr:from>
    <xdr:ext cx="2533650" cy="773257"/>
    <xdr:pic>
      <xdr:nvPicPr>
        <xdr:cNvPr id="38" name="Picture 37">
          <a:extLst>
            <a:ext uri="{FF2B5EF4-FFF2-40B4-BE49-F238E27FC236}">
              <a16:creationId xmlns:a16="http://schemas.microsoft.com/office/drawing/2014/main" id="{FD524EAD-A9EB-4285-B3DD-79ACAE4E1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90</xdr:row>
      <xdr:rowOff>0</xdr:rowOff>
    </xdr:from>
    <xdr:ext cx="571500" cy="362114"/>
    <xdr:pic>
      <xdr:nvPicPr>
        <xdr:cNvPr id="39" name="Picture 38">
          <a:extLst>
            <a:ext uri="{FF2B5EF4-FFF2-40B4-BE49-F238E27FC236}">
              <a16:creationId xmlns:a16="http://schemas.microsoft.com/office/drawing/2014/main" id="{8F7D3062-B945-43DC-B2A1-F37EC7DD0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90</xdr:row>
      <xdr:rowOff>0</xdr:rowOff>
    </xdr:from>
    <xdr:ext cx="571500" cy="362114"/>
    <xdr:pic>
      <xdr:nvPicPr>
        <xdr:cNvPr id="40" name="Picture 39">
          <a:extLst>
            <a:ext uri="{FF2B5EF4-FFF2-40B4-BE49-F238E27FC236}">
              <a16:creationId xmlns:a16="http://schemas.microsoft.com/office/drawing/2014/main" id="{E72650AC-09F0-4E24-9CCF-9AFAD18BB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93</xdr:row>
      <xdr:rowOff>95249</xdr:rowOff>
    </xdr:from>
    <xdr:ext cx="2533650" cy="773257"/>
    <xdr:pic>
      <xdr:nvPicPr>
        <xdr:cNvPr id="41" name="Picture 40">
          <a:extLst>
            <a:ext uri="{FF2B5EF4-FFF2-40B4-BE49-F238E27FC236}">
              <a16:creationId xmlns:a16="http://schemas.microsoft.com/office/drawing/2014/main" id="{B3EEECA6-4B48-479E-97C5-0E1908F3B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97</xdr:row>
      <xdr:rowOff>0</xdr:rowOff>
    </xdr:from>
    <xdr:ext cx="571500" cy="362114"/>
    <xdr:pic>
      <xdr:nvPicPr>
        <xdr:cNvPr id="42" name="Picture 41">
          <a:extLst>
            <a:ext uri="{FF2B5EF4-FFF2-40B4-BE49-F238E27FC236}">
              <a16:creationId xmlns:a16="http://schemas.microsoft.com/office/drawing/2014/main" id="{0EAC83F8-B289-438F-BF24-92B673434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97</xdr:row>
      <xdr:rowOff>0</xdr:rowOff>
    </xdr:from>
    <xdr:ext cx="571500" cy="362114"/>
    <xdr:pic>
      <xdr:nvPicPr>
        <xdr:cNvPr id="43" name="Picture 42">
          <a:extLst>
            <a:ext uri="{FF2B5EF4-FFF2-40B4-BE49-F238E27FC236}">
              <a16:creationId xmlns:a16="http://schemas.microsoft.com/office/drawing/2014/main" id="{E3B3ED46-6D9D-4DDB-AF3D-9B6F63CFB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100</xdr:row>
      <xdr:rowOff>95249</xdr:rowOff>
    </xdr:from>
    <xdr:ext cx="2533650" cy="773257"/>
    <xdr:pic>
      <xdr:nvPicPr>
        <xdr:cNvPr id="44" name="Picture 43">
          <a:extLst>
            <a:ext uri="{FF2B5EF4-FFF2-40B4-BE49-F238E27FC236}">
              <a16:creationId xmlns:a16="http://schemas.microsoft.com/office/drawing/2014/main" id="{B04C696B-F41C-4CA1-A88F-DAA2273BA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104</xdr:row>
      <xdr:rowOff>0</xdr:rowOff>
    </xdr:from>
    <xdr:ext cx="571500" cy="362114"/>
    <xdr:pic>
      <xdr:nvPicPr>
        <xdr:cNvPr id="45" name="Picture 44">
          <a:extLst>
            <a:ext uri="{FF2B5EF4-FFF2-40B4-BE49-F238E27FC236}">
              <a16:creationId xmlns:a16="http://schemas.microsoft.com/office/drawing/2014/main" id="{EB6F5718-9DC9-4D99-8167-B332A84A0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104</xdr:row>
      <xdr:rowOff>0</xdr:rowOff>
    </xdr:from>
    <xdr:ext cx="571500" cy="362114"/>
    <xdr:pic>
      <xdr:nvPicPr>
        <xdr:cNvPr id="46" name="Picture 45">
          <a:extLst>
            <a:ext uri="{FF2B5EF4-FFF2-40B4-BE49-F238E27FC236}">
              <a16:creationId xmlns:a16="http://schemas.microsoft.com/office/drawing/2014/main" id="{4B9ECE0E-50A8-4B4F-9BDE-7198F6341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107</xdr:row>
      <xdr:rowOff>95249</xdr:rowOff>
    </xdr:from>
    <xdr:ext cx="2533650" cy="773257"/>
    <xdr:pic>
      <xdr:nvPicPr>
        <xdr:cNvPr id="47" name="Picture 46">
          <a:extLst>
            <a:ext uri="{FF2B5EF4-FFF2-40B4-BE49-F238E27FC236}">
              <a16:creationId xmlns:a16="http://schemas.microsoft.com/office/drawing/2014/main" id="{AA5A605E-ED3E-4814-869E-E61124B9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111</xdr:row>
      <xdr:rowOff>0</xdr:rowOff>
    </xdr:from>
    <xdr:ext cx="571500" cy="362114"/>
    <xdr:pic>
      <xdr:nvPicPr>
        <xdr:cNvPr id="48" name="Picture 47">
          <a:extLst>
            <a:ext uri="{FF2B5EF4-FFF2-40B4-BE49-F238E27FC236}">
              <a16:creationId xmlns:a16="http://schemas.microsoft.com/office/drawing/2014/main" id="{190B59A8-BD39-4893-BA2E-D0241AE0F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111</xdr:row>
      <xdr:rowOff>0</xdr:rowOff>
    </xdr:from>
    <xdr:ext cx="571500" cy="362114"/>
    <xdr:pic>
      <xdr:nvPicPr>
        <xdr:cNvPr id="49" name="Picture 48">
          <a:extLst>
            <a:ext uri="{FF2B5EF4-FFF2-40B4-BE49-F238E27FC236}">
              <a16:creationId xmlns:a16="http://schemas.microsoft.com/office/drawing/2014/main" id="{E8C64996-2361-465B-AF01-08EBA6D94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114</xdr:row>
      <xdr:rowOff>95249</xdr:rowOff>
    </xdr:from>
    <xdr:ext cx="2533650" cy="773257"/>
    <xdr:pic>
      <xdr:nvPicPr>
        <xdr:cNvPr id="50" name="Picture 49">
          <a:extLst>
            <a:ext uri="{FF2B5EF4-FFF2-40B4-BE49-F238E27FC236}">
              <a16:creationId xmlns:a16="http://schemas.microsoft.com/office/drawing/2014/main" id="{B172D661-07FD-4648-91CF-043722A38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118</xdr:row>
      <xdr:rowOff>0</xdr:rowOff>
    </xdr:from>
    <xdr:ext cx="571500" cy="362114"/>
    <xdr:pic>
      <xdr:nvPicPr>
        <xdr:cNvPr id="51" name="Picture 50">
          <a:extLst>
            <a:ext uri="{FF2B5EF4-FFF2-40B4-BE49-F238E27FC236}">
              <a16:creationId xmlns:a16="http://schemas.microsoft.com/office/drawing/2014/main" id="{8B3EEBC6-F5D1-47AB-893F-4E83C5F54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118</xdr:row>
      <xdr:rowOff>0</xdr:rowOff>
    </xdr:from>
    <xdr:ext cx="571500" cy="362114"/>
    <xdr:pic>
      <xdr:nvPicPr>
        <xdr:cNvPr id="52" name="Picture 51">
          <a:extLst>
            <a:ext uri="{FF2B5EF4-FFF2-40B4-BE49-F238E27FC236}">
              <a16:creationId xmlns:a16="http://schemas.microsoft.com/office/drawing/2014/main" id="{3495CD79-6DC6-41A5-B9E4-DBE47DD87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121</xdr:row>
      <xdr:rowOff>95249</xdr:rowOff>
    </xdr:from>
    <xdr:ext cx="2533650" cy="773257"/>
    <xdr:pic>
      <xdr:nvPicPr>
        <xdr:cNvPr id="53" name="Picture 52">
          <a:extLst>
            <a:ext uri="{FF2B5EF4-FFF2-40B4-BE49-F238E27FC236}">
              <a16:creationId xmlns:a16="http://schemas.microsoft.com/office/drawing/2014/main" id="{4C4339F8-1C72-48E9-8887-13AD04DDA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125</xdr:row>
      <xdr:rowOff>0</xdr:rowOff>
    </xdr:from>
    <xdr:ext cx="571500" cy="362114"/>
    <xdr:pic>
      <xdr:nvPicPr>
        <xdr:cNvPr id="54" name="Picture 53">
          <a:extLst>
            <a:ext uri="{FF2B5EF4-FFF2-40B4-BE49-F238E27FC236}">
              <a16:creationId xmlns:a16="http://schemas.microsoft.com/office/drawing/2014/main" id="{A555A870-F160-45F9-851E-583A299E9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125</xdr:row>
      <xdr:rowOff>0</xdr:rowOff>
    </xdr:from>
    <xdr:ext cx="571500" cy="362114"/>
    <xdr:pic>
      <xdr:nvPicPr>
        <xdr:cNvPr id="55" name="Picture 54">
          <a:extLst>
            <a:ext uri="{FF2B5EF4-FFF2-40B4-BE49-F238E27FC236}">
              <a16:creationId xmlns:a16="http://schemas.microsoft.com/office/drawing/2014/main" id="{B6DA6CB8-EFE1-4EAE-A069-FCC6D2295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128</xdr:row>
      <xdr:rowOff>95249</xdr:rowOff>
    </xdr:from>
    <xdr:ext cx="2533650" cy="773257"/>
    <xdr:pic>
      <xdr:nvPicPr>
        <xdr:cNvPr id="56" name="Picture 55">
          <a:extLst>
            <a:ext uri="{FF2B5EF4-FFF2-40B4-BE49-F238E27FC236}">
              <a16:creationId xmlns:a16="http://schemas.microsoft.com/office/drawing/2014/main" id="{36E78C01-01B7-4894-BA43-10F13F93A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132</xdr:row>
      <xdr:rowOff>0</xdr:rowOff>
    </xdr:from>
    <xdr:ext cx="571500" cy="362114"/>
    <xdr:pic>
      <xdr:nvPicPr>
        <xdr:cNvPr id="57" name="Picture 56">
          <a:extLst>
            <a:ext uri="{FF2B5EF4-FFF2-40B4-BE49-F238E27FC236}">
              <a16:creationId xmlns:a16="http://schemas.microsoft.com/office/drawing/2014/main" id="{CC438EFF-DAFC-4ED8-9D4F-8625EA5AD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132</xdr:row>
      <xdr:rowOff>0</xdr:rowOff>
    </xdr:from>
    <xdr:ext cx="571500" cy="362114"/>
    <xdr:pic>
      <xdr:nvPicPr>
        <xdr:cNvPr id="58" name="Picture 57">
          <a:extLst>
            <a:ext uri="{FF2B5EF4-FFF2-40B4-BE49-F238E27FC236}">
              <a16:creationId xmlns:a16="http://schemas.microsoft.com/office/drawing/2014/main" id="{9DD3EB5D-A433-4CA8-9BD8-5C274D8E1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135</xdr:row>
      <xdr:rowOff>95249</xdr:rowOff>
    </xdr:from>
    <xdr:ext cx="2533650" cy="773257"/>
    <xdr:pic>
      <xdr:nvPicPr>
        <xdr:cNvPr id="59" name="Picture 58">
          <a:extLst>
            <a:ext uri="{FF2B5EF4-FFF2-40B4-BE49-F238E27FC236}">
              <a16:creationId xmlns:a16="http://schemas.microsoft.com/office/drawing/2014/main" id="{03C64E23-65B3-4FD4-B68E-A162F3288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139</xdr:row>
      <xdr:rowOff>0</xdr:rowOff>
    </xdr:from>
    <xdr:ext cx="571500" cy="362114"/>
    <xdr:pic>
      <xdr:nvPicPr>
        <xdr:cNvPr id="60" name="Picture 59">
          <a:extLst>
            <a:ext uri="{FF2B5EF4-FFF2-40B4-BE49-F238E27FC236}">
              <a16:creationId xmlns:a16="http://schemas.microsoft.com/office/drawing/2014/main" id="{9F650830-0198-403A-A243-79B6A56B9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139</xdr:row>
      <xdr:rowOff>0</xdr:rowOff>
    </xdr:from>
    <xdr:ext cx="571500" cy="362114"/>
    <xdr:pic>
      <xdr:nvPicPr>
        <xdr:cNvPr id="61" name="Picture 60">
          <a:extLst>
            <a:ext uri="{FF2B5EF4-FFF2-40B4-BE49-F238E27FC236}">
              <a16:creationId xmlns:a16="http://schemas.microsoft.com/office/drawing/2014/main" id="{ABF36321-F096-4AAB-9DC8-8A12E39E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142</xdr:row>
      <xdr:rowOff>95249</xdr:rowOff>
    </xdr:from>
    <xdr:ext cx="2533650" cy="773257"/>
    <xdr:pic>
      <xdr:nvPicPr>
        <xdr:cNvPr id="62" name="Picture 61">
          <a:extLst>
            <a:ext uri="{FF2B5EF4-FFF2-40B4-BE49-F238E27FC236}">
              <a16:creationId xmlns:a16="http://schemas.microsoft.com/office/drawing/2014/main" id="{53ED03FC-5082-4431-9CBA-CE530F4BA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146</xdr:row>
      <xdr:rowOff>0</xdr:rowOff>
    </xdr:from>
    <xdr:ext cx="571500" cy="362114"/>
    <xdr:pic>
      <xdr:nvPicPr>
        <xdr:cNvPr id="63" name="Picture 62">
          <a:extLst>
            <a:ext uri="{FF2B5EF4-FFF2-40B4-BE49-F238E27FC236}">
              <a16:creationId xmlns:a16="http://schemas.microsoft.com/office/drawing/2014/main" id="{F6108FAF-61C6-4546-A257-93E442AFF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146</xdr:row>
      <xdr:rowOff>0</xdr:rowOff>
    </xdr:from>
    <xdr:ext cx="571500" cy="362114"/>
    <xdr:pic>
      <xdr:nvPicPr>
        <xdr:cNvPr id="64" name="Picture 63">
          <a:extLst>
            <a:ext uri="{FF2B5EF4-FFF2-40B4-BE49-F238E27FC236}">
              <a16:creationId xmlns:a16="http://schemas.microsoft.com/office/drawing/2014/main" id="{79AD2A7A-6552-4409-BA25-7FC137ED3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149</xdr:row>
      <xdr:rowOff>95249</xdr:rowOff>
    </xdr:from>
    <xdr:ext cx="2533650" cy="773257"/>
    <xdr:pic>
      <xdr:nvPicPr>
        <xdr:cNvPr id="65" name="Picture 64">
          <a:extLst>
            <a:ext uri="{FF2B5EF4-FFF2-40B4-BE49-F238E27FC236}">
              <a16:creationId xmlns:a16="http://schemas.microsoft.com/office/drawing/2014/main" id="{82360D7B-FD6C-4E7B-AFC9-7F9CFDF82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153</xdr:row>
      <xdr:rowOff>0</xdr:rowOff>
    </xdr:from>
    <xdr:ext cx="571500" cy="362114"/>
    <xdr:pic>
      <xdr:nvPicPr>
        <xdr:cNvPr id="66" name="Picture 65">
          <a:extLst>
            <a:ext uri="{FF2B5EF4-FFF2-40B4-BE49-F238E27FC236}">
              <a16:creationId xmlns:a16="http://schemas.microsoft.com/office/drawing/2014/main" id="{23E9DA0E-2F8E-49F2-A63B-BC620BD42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153</xdr:row>
      <xdr:rowOff>0</xdr:rowOff>
    </xdr:from>
    <xdr:ext cx="571500" cy="362114"/>
    <xdr:pic>
      <xdr:nvPicPr>
        <xdr:cNvPr id="67" name="Picture 66">
          <a:extLst>
            <a:ext uri="{FF2B5EF4-FFF2-40B4-BE49-F238E27FC236}">
              <a16:creationId xmlns:a16="http://schemas.microsoft.com/office/drawing/2014/main" id="{D923BA88-B4DC-4A02-8AEC-B4B47B995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156</xdr:row>
      <xdr:rowOff>95249</xdr:rowOff>
    </xdr:from>
    <xdr:ext cx="2533650" cy="773257"/>
    <xdr:pic>
      <xdr:nvPicPr>
        <xdr:cNvPr id="68" name="Picture 67">
          <a:extLst>
            <a:ext uri="{FF2B5EF4-FFF2-40B4-BE49-F238E27FC236}">
              <a16:creationId xmlns:a16="http://schemas.microsoft.com/office/drawing/2014/main" id="{68A54E4F-5C3A-43C5-BD25-8D8E7A2B9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160</xdr:row>
      <xdr:rowOff>0</xdr:rowOff>
    </xdr:from>
    <xdr:ext cx="571500" cy="362114"/>
    <xdr:pic>
      <xdr:nvPicPr>
        <xdr:cNvPr id="69" name="Picture 68">
          <a:extLst>
            <a:ext uri="{FF2B5EF4-FFF2-40B4-BE49-F238E27FC236}">
              <a16:creationId xmlns:a16="http://schemas.microsoft.com/office/drawing/2014/main" id="{568050DE-2AB1-4AB1-A3DF-E21886F23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160</xdr:row>
      <xdr:rowOff>0</xdr:rowOff>
    </xdr:from>
    <xdr:ext cx="571500" cy="362114"/>
    <xdr:pic>
      <xdr:nvPicPr>
        <xdr:cNvPr id="70" name="Picture 69">
          <a:extLst>
            <a:ext uri="{FF2B5EF4-FFF2-40B4-BE49-F238E27FC236}">
              <a16:creationId xmlns:a16="http://schemas.microsoft.com/office/drawing/2014/main" id="{2F6FE655-462C-4F07-8E94-520E0C469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163</xdr:row>
      <xdr:rowOff>95249</xdr:rowOff>
    </xdr:from>
    <xdr:ext cx="2533650" cy="773257"/>
    <xdr:pic>
      <xdr:nvPicPr>
        <xdr:cNvPr id="71" name="Picture 70">
          <a:extLst>
            <a:ext uri="{FF2B5EF4-FFF2-40B4-BE49-F238E27FC236}">
              <a16:creationId xmlns:a16="http://schemas.microsoft.com/office/drawing/2014/main" id="{CB5AD91F-AD24-4C1E-84C0-8EF1B6B2F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167</xdr:row>
      <xdr:rowOff>0</xdr:rowOff>
    </xdr:from>
    <xdr:ext cx="571500" cy="362114"/>
    <xdr:pic>
      <xdr:nvPicPr>
        <xdr:cNvPr id="72" name="Picture 71">
          <a:extLst>
            <a:ext uri="{FF2B5EF4-FFF2-40B4-BE49-F238E27FC236}">
              <a16:creationId xmlns:a16="http://schemas.microsoft.com/office/drawing/2014/main" id="{8BB7F734-7867-4433-8180-DCC5A2EB0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167</xdr:row>
      <xdr:rowOff>0</xdr:rowOff>
    </xdr:from>
    <xdr:ext cx="571500" cy="362114"/>
    <xdr:pic>
      <xdr:nvPicPr>
        <xdr:cNvPr id="73" name="Picture 72">
          <a:extLst>
            <a:ext uri="{FF2B5EF4-FFF2-40B4-BE49-F238E27FC236}">
              <a16:creationId xmlns:a16="http://schemas.microsoft.com/office/drawing/2014/main" id="{55CF900A-4206-4D5C-BDA3-8DC80468A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170</xdr:row>
      <xdr:rowOff>95249</xdr:rowOff>
    </xdr:from>
    <xdr:ext cx="2533650" cy="773257"/>
    <xdr:pic>
      <xdr:nvPicPr>
        <xdr:cNvPr id="74" name="Picture 73">
          <a:extLst>
            <a:ext uri="{FF2B5EF4-FFF2-40B4-BE49-F238E27FC236}">
              <a16:creationId xmlns:a16="http://schemas.microsoft.com/office/drawing/2014/main" id="{746A3B5D-7E35-4D3A-BF10-26B71CC42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174</xdr:row>
      <xdr:rowOff>0</xdr:rowOff>
    </xdr:from>
    <xdr:ext cx="571500" cy="362114"/>
    <xdr:pic>
      <xdr:nvPicPr>
        <xdr:cNvPr id="75" name="Picture 74">
          <a:extLst>
            <a:ext uri="{FF2B5EF4-FFF2-40B4-BE49-F238E27FC236}">
              <a16:creationId xmlns:a16="http://schemas.microsoft.com/office/drawing/2014/main" id="{C0D14CCD-EC62-46AE-B353-65060301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174</xdr:row>
      <xdr:rowOff>0</xdr:rowOff>
    </xdr:from>
    <xdr:ext cx="571500" cy="362114"/>
    <xdr:pic>
      <xdr:nvPicPr>
        <xdr:cNvPr id="76" name="Picture 75">
          <a:extLst>
            <a:ext uri="{FF2B5EF4-FFF2-40B4-BE49-F238E27FC236}">
              <a16:creationId xmlns:a16="http://schemas.microsoft.com/office/drawing/2014/main" id="{1CBED413-F267-4C91-9B82-469E8719C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177</xdr:row>
      <xdr:rowOff>95249</xdr:rowOff>
    </xdr:from>
    <xdr:ext cx="2533650" cy="773257"/>
    <xdr:pic>
      <xdr:nvPicPr>
        <xdr:cNvPr id="77" name="Picture 76">
          <a:extLst>
            <a:ext uri="{FF2B5EF4-FFF2-40B4-BE49-F238E27FC236}">
              <a16:creationId xmlns:a16="http://schemas.microsoft.com/office/drawing/2014/main" id="{1D51AED9-0479-4F9B-B572-A1CBAFAFE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181</xdr:row>
      <xdr:rowOff>0</xdr:rowOff>
    </xdr:from>
    <xdr:ext cx="571500" cy="362114"/>
    <xdr:pic>
      <xdr:nvPicPr>
        <xdr:cNvPr id="78" name="Picture 77">
          <a:extLst>
            <a:ext uri="{FF2B5EF4-FFF2-40B4-BE49-F238E27FC236}">
              <a16:creationId xmlns:a16="http://schemas.microsoft.com/office/drawing/2014/main" id="{E8752E52-4C55-47E5-90E9-0BD7F126A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181</xdr:row>
      <xdr:rowOff>0</xdr:rowOff>
    </xdr:from>
    <xdr:ext cx="571500" cy="362114"/>
    <xdr:pic>
      <xdr:nvPicPr>
        <xdr:cNvPr id="79" name="Picture 78">
          <a:extLst>
            <a:ext uri="{FF2B5EF4-FFF2-40B4-BE49-F238E27FC236}">
              <a16:creationId xmlns:a16="http://schemas.microsoft.com/office/drawing/2014/main" id="{485D8AEB-4A14-4B64-A7AE-141D4B85F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184</xdr:row>
      <xdr:rowOff>95249</xdr:rowOff>
    </xdr:from>
    <xdr:ext cx="2533650" cy="773257"/>
    <xdr:pic>
      <xdr:nvPicPr>
        <xdr:cNvPr id="80" name="Picture 79">
          <a:extLst>
            <a:ext uri="{FF2B5EF4-FFF2-40B4-BE49-F238E27FC236}">
              <a16:creationId xmlns:a16="http://schemas.microsoft.com/office/drawing/2014/main" id="{ED1B72E3-1EC4-4AF2-A666-F4785118B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188</xdr:row>
      <xdr:rowOff>0</xdr:rowOff>
    </xdr:from>
    <xdr:ext cx="571500" cy="362114"/>
    <xdr:pic>
      <xdr:nvPicPr>
        <xdr:cNvPr id="81" name="Picture 80">
          <a:extLst>
            <a:ext uri="{FF2B5EF4-FFF2-40B4-BE49-F238E27FC236}">
              <a16:creationId xmlns:a16="http://schemas.microsoft.com/office/drawing/2014/main" id="{F82075E2-3214-4D7E-B4C6-EA3B8257F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188</xdr:row>
      <xdr:rowOff>0</xdr:rowOff>
    </xdr:from>
    <xdr:ext cx="571500" cy="362114"/>
    <xdr:pic>
      <xdr:nvPicPr>
        <xdr:cNvPr id="82" name="Picture 81">
          <a:extLst>
            <a:ext uri="{FF2B5EF4-FFF2-40B4-BE49-F238E27FC236}">
              <a16:creationId xmlns:a16="http://schemas.microsoft.com/office/drawing/2014/main" id="{416B58E1-940A-4102-813C-569B39151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191</xdr:row>
      <xdr:rowOff>95249</xdr:rowOff>
    </xdr:from>
    <xdr:ext cx="2533650" cy="773257"/>
    <xdr:pic>
      <xdr:nvPicPr>
        <xdr:cNvPr id="83" name="Picture 82">
          <a:extLst>
            <a:ext uri="{FF2B5EF4-FFF2-40B4-BE49-F238E27FC236}">
              <a16:creationId xmlns:a16="http://schemas.microsoft.com/office/drawing/2014/main" id="{E4DAD791-D38D-4780-8B9F-44FB63648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195</xdr:row>
      <xdr:rowOff>0</xdr:rowOff>
    </xdr:from>
    <xdr:ext cx="571500" cy="362114"/>
    <xdr:pic>
      <xdr:nvPicPr>
        <xdr:cNvPr id="84" name="Picture 83">
          <a:extLst>
            <a:ext uri="{FF2B5EF4-FFF2-40B4-BE49-F238E27FC236}">
              <a16:creationId xmlns:a16="http://schemas.microsoft.com/office/drawing/2014/main" id="{18B8EDBC-693C-462E-8FA2-DB5AB5B8F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195</xdr:row>
      <xdr:rowOff>0</xdr:rowOff>
    </xdr:from>
    <xdr:ext cx="571500" cy="362114"/>
    <xdr:pic>
      <xdr:nvPicPr>
        <xdr:cNvPr id="85" name="Picture 84">
          <a:extLst>
            <a:ext uri="{FF2B5EF4-FFF2-40B4-BE49-F238E27FC236}">
              <a16:creationId xmlns:a16="http://schemas.microsoft.com/office/drawing/2014/main" id="{9442A062-1743-457E-83EF-E89E46AF5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198</xdr:row>
      <xdr:rowOff>95249</xdr:rowOff>
    </xdr:from>
    <xdr:ext cx="2533650" cy="773257"/>
    <xdr:pic>
      <xdr:nvPicPr>
        <xdr:cNvPr id="86" name="Picture 85">
          <a:extLst>
            <a:ext uri="{FF2B5EF4-FFF2-40B4-BE49-F238E27FC236}">
              <a16:creationId xmlns:a16="http://schemas.microsoft.com/office/drawing/2014/main" id="{78786977-46B5-4458-9FE1-E24C879BB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202</xdr:row>
      <xdr:rowOff>0</xdr:rowOff>
    </xdr:from>
    <xdr:ext cx="571500" cy="362114"/>
    <xdr:pic>
      <xdr:nvPicPr>
        <xdr:cNvPr id="87" name="Picture 86">
          <a:extLst>
            <a:ext uri="{FF2B5EF4-FFF2-40B4-BE49-F238E27FC236}">
              <a16:creationId xmlns:a16="http://schemas.microsoft.com/office/drawing/2014/main" id="{62B14A6F-FEE8-4F00-9EA6-C46DCD95F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202</xdr:row>
      <xdr:rowOff>0</xdr:rowOff>
    </xdr:from>
    <xdr:ext cx="571500" cy="362114"/>
    <xdr:pic>
      <xdr:nvPicPr>
        <xdr:cNvPr id="88" name="Picture 87">
          <a:extLst>
            <a:ext uri="{FF2B5EF4-FFF2-40B4-BE49-F238E27FC236}">
              <a16:creationId xmlns:a16="http://schemas.microsoft.com/office/drawing/2014/main" id="{0B2C9934-F613-4B70-9335-3DDE11D42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205</xdr:row>
      <xdr:rowOff>95249</xdr:rowOff>
    </xdr:from>
    <xdr:ext cx="2533650" cy="773257"/>
    <xdr:pic>
      <xdr:nvPicPr>
        <xdr:cNvPr id="89" name="Picture 88">
          <a:extLst>
            <a:ext uri="{FF2B5EF4-FFF2-40B4-BE49-F238E27FC236}">
              <a16:creationId xmlns:a16="http://schemas.microsoft.com/office/drawing/2014/main" id="{670441A6-2678-4893-AAD2-B59F6BEFB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209</xdr:row>
      <xdr:rowOff>0</xdr:rowOff>
    </xdr:from>
    <xdr:ext cx="571500" cy="362114"/>
    <xdr:pic>
      <xdr:nvPicPr>
        <xdr:cNvPr id="90" name="Picture 89">
          <a:extLst>
            <a:ext uri="{FF2B5EF4-FFF2-40B4-BE49-F238E27FC236}">
              <a16:creationId xmlns:a16="http://schemas.microsoft.com/office/drawing/2014/main" id="{B3277D2B-5567-4516-B7B1-0F7EF96E9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209</xdr:row>
      <xdr:rowOff>0</xdr:rowOff>
    </xdr:from>
    <xdr:ext cx="571500" cy="362114"/>
    <xdr:pic>
      <xdr:nvPicPr>
        <xdr:cNvPr id="91" name="Picture 90">
          <a:extLst>
            <a:ext uri="{FF2B5EF4-FFF2-40B4-BE49-F238E27FC236}">
              <a16:creationId xmlns:a16="http://schemas.microsoft.com/office/drawing/2014/main" id="{28683117-95DF-4250-9FAE-904BF9847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212</xdr:row>
      <xdr:rowOff>95249</xdr:rowOff>
    </xdr:from>
    <xdr:ext cx="2533650" cy="773257"/>
    <xdr:pic>
      <xdr:nvPicPr>
        <xdr:cNvPr id="92" name="Picture 91">
          <a:extLst>
            <a:ext uri="{FF2B5EF4-FFF2-40B4-BE49-F238E27FC236}">
              <a16:creationId xmlns:a16="http://schemas.microsoft.com/office/drawing/2014/main" id="{F8E680E4-9A20-4F55-BDD7-86C554D37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216</xdr:row>
      <xdr:rowOff>0</xdr:rowOff>
    </xdr:from>
    <xdr:ext cx="571500" cy="362114"/>
    <xdr:pic>
      <xdr:nvPicPr>
        <xdr:cNvPr id="93" name="Picture 92">
          <a:extLst>
            <a:ext uri="{FF2B5EF4-FFF2-40B4-BE49-F238E27FC236}">
              <a16:creationId xmlns:a16="http://schemas.microsoft.com/office/drawing/2014/main" id="{69223013-5DFA-476E-8EB6-C266D399B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216</xdr:row>
      <xdr:rowOff>0</xdr:rowOff>
    </xdr:from>
    <xdr:ext cx="571500" cy="362114"/>
    <xdr:pic>
      <xdr:nvPicPr>
        <xdr:cNvPr id="94" name="Picture 93">
          <a:extLst>
            <a:ext uri="{FF2B5EF4-FFF2-40B4-BE49-F238E27FC236}">
              <a16:creationId xmlns:a16="http://schemas.microsoft.com/office/drawing/2014/main" id="{5F2391AB-1672-43A2-9FFD-3E43A7EB0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219</xdr:row>
      <xdr:rowOff>95249</xdr:rowOff>
    </xdr:from>
    <xdr:ext cx="2533650" cy="773257"/>
    <xdr:pic>
      <xdr:nvPicPr>
        <xdr:cNvPr id="95" name="Picture 94">
          <a:extLst>
            <a:ext uri="{FF2B5EF4-FFF2-40B4-BE49-F238E27FC236}">
              <a16:creationId xmlns:a16="http://schemas.microsoft.com/office/drawing/2014/main" id="{F67DD2E8-2CC9-43A7-81DE-499BF015C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223</xdr:row>
      <xdr:rowOff>0</xdr:rowOff>
    </xdr:from>
    <xdr:ext cx="571500" cy="362114"/>
    <xdr:pic>
      <xdr:nvPicPr>
        <xdr:cNvPr id="96" name="Picture 95">
          <a:extLst>
            <a:ext uri="{FF2B5EF4-FFF2-40B4-BE49-F238E27FC236}">
              <a16:creationId xmlns:a16="http://schemas.microsoft.com/office/drawing/2014/main" id="{4D7FE690-F000-4C08-B704-44B71B87B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223</xdr:row>
      <xdr:rowOff>0</xdr:rowOff>
    </xdr:from>
    <xdr:ext cx="571500" cy="362114"/>
    <xdr:pic>
      <xdr:nvPicPr>
        <xdr:cNvPr id="97" name="Picture 96">
          <a:extLst>
            <a:ext uri="{FF2B5EF4-FFF2-40B4-BE49-F238E27FC236}">
              <a16:creationId xmlns:a16="http://schemas.microsoft.com/office/drawing/2014/main" id="{45C5A915-7D10-4EBD-AAC7-59F6CDF82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226</xdr:row>
      <xdr:rowOff>95249</xdr:rowOff>
    </xdr:from>
    <xdr:ext cx="2533650" cy="773257"/>
    <xdr:pic>
      <xdr:nvPicPr>
        <xdr:cNvPr id="98" name="Picture 97">
          <a:extLst>
            <a:ext uri="{FF2B5EF4-FFF2-40B4-BE49-F238E27FC236}">
              <a16:creationId xmlns:a16="http://schemas.microsoft.com/office/drawing/2014/main" id="{44304B22-093C-4BFC-9AD6-5A1902942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230</xdr:row>
      <xdr:rowOff>0</xdr:rowOff>
    </xdr:from>
    <xdr:ext cx="571500" cy="362114"/>
    <xdr:pic>
      <xdr:nvPicPr>
        <xdr:cNvPr id="99" name="Picture 98">
          <a:extLst>
            <a:ext uri="{FF2B5EF4-FFF2-40B4-BE49-F238E27FC236}">
              <a16:creationId xmlns:a16="http://schemas.microsoft.com/office/drawing/2014/main" id="{D768B71E-D0CA-40BE-9220-06CDA2EA4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230</xdr:row>
      <xdr:rowOff>0</xdr:rowOff>
    </xdr:from>
    <xdr:ext cx="571500" cy="362114"/>
    <xdr:pic>
      <xdr:nvPicPr>
        <xdr:cNvPr id="100" name="Picture 99">
          <a:extLst>
            <a:ext uri="{FF2B5EF4-FFF2-40B4-BE49-F238E27FC236}">
              <a16:creationId xmlns:a16="http://schemas.microsoft.com/office/drawing/2014/main" id="{D9BE6B17-30B9-40BC-907A-8657FF37D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233</xdr:row>
      <xdr:rowOff>95249</xdr:rowOff>
    </xdr:from>
    <xdr:ext cx="2533650" cy="773257"/>
    <xdr:pic>
      <xdr:nvPicPr>
        <xdr:cNvPr id="101" name="Picture 100">
          <a:extLst>
            <a:ext uri="{FF2B5EF4-FFF2-40B4-BE49-F238E27FC236}">
              <a16:creationId xmlns:a16="http://schemas.microsoft.com/office/drawing/2014/main" id="{D1526626-974F-4673-A1F4-EA84EC463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237</xdr:row>
      <xdr:rowOff>0</xdr:rowOff>
    </xdr:from>
    <xdr:ext cx="571500" cy="362114"/>
    <xdr:pic>
      <xdr:nvPicPr>
        <xdr:cNvPr id="102" name="Picture 101">
          <a:extLst>
            <a:ext uri="{FF2B5EF4-FFF2-40B4-BE49-F238E27FC236}">
              <a16:creationId xmlns:a16="http://schemas.microsoft.com/office/drawing/2014/main" id="{01C07B5D-EB89-4EDF-A682-A7965683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237</xdr:row>
      <xdr:rowOff>0</xdr:rowOff>
    </xdr:from>
    <xdr:ext cx="571500" cy="362114"/>
    <xdr:pic>
      <xdr:nvPicPr>
        <xdr:cNvPr id="103" name="Picture 102">
          <a:extLst>
            <a:ext uri="{FF2B5EF4-FFF2-40B4-BE49-F238E27FC236}">
              <a16:creationId xmlns:a16="http://schemas.microsoft.com/office/drawing/2014/main" id="{8ED269A6-B9B6-43FA-A632-9F01B479A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240</xdr:row>
      <xdr:rowOff>95249</xdr:rowOff>
    </xdr:from>
    <xdr:ext cx="2533650" cy="773257"/>
    <xdr:pic>
      <xdr:nvPicPr>
        <xdr:cNvPr id="104" name="Picture 103">
          <a:extLst>
            <a:ext uri="{FF2B5EF4-FFF2-40B4-BE49-F238E27FC236}">
              <a16:creationId xmlns:a16="http://schemas.microsoft.com/office/drawing/2014/main" id="{33D61A26-5E76-43A5-B4A6-D75912595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244</xdr:row>
      <xdr:rowOff>0</xdr:rowOff>
    </xdr:from>
    <xdr:ext cx="571500" cy="362114"/>
    <xdr:pic>
      <xdr:nvPicPr>
        <xdr:cNvPr id="105" name="Picture 104">
          <a:extLst>
            <a:ext uri="{FF2B5EF4-FFF2-40B4-BE49-F238E27FC236}">
              <a16:creationId xmlns:a16="http://schemas.microsoft.com/office/drawing/2014/main" id="{979C4CD2-85DA-4487-B80E-AD5ADD2B8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244</xdr:row>
      <xdr:rowOff>0</xdr:rowOff>
    </xdr:from>
    <xdr:ext cx="571500" cy="362114"/>
    <xdr:pic>
      <xdr:nvPicPr>
        <xdr:cNvPr id="106" name="Picture 105">
          <a:extLst>
            <a:ext uri="{FF2B5EF4-FFF2-40B4-BE49-F238E27FC236}">
              <a16:creationId xmlns:a16="http://schemas.microsoft.com/office/drawing/2014/main" id="{A97F9506-9E0A-43C2-8898-7B7D5164D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247</xdr:row>
      <xdr:rowOff>95249</xdr:rowOff>
    </xdr:from>
    <xdr:ext cx="2533650" cy="773257"/>
    <xdr:pic>
      <xdr:nvPicPr>
        <xdr:cNvPr id="107" name="Picture 106">
          <a:extLst>
            <a:ext uri="{FF2B5EF4-FFF2-40B4-BE49-F238E27FC236}">
              <a16:creationId xmlns:a16="http://schemas.microsoft.com/office/drawing/2014/main" id="{5E7D0D33-A86E-4DDB-ABDC-FBCB95AF7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251</xdr:row>
      <xdr:rowOff>0</xdr:rowOff>
    </xdr:from>
    <xdr:ext cx="571500" cy="362114"/>
    <xdr:pic>
      <xdr:nvPicPr>
        <xdr:cNvPr id="108" name="Picture 107">
          <a:extLst>
            <a:ext uri="{FF2B5EF4-FFF2-40B4-BE49-F238E27FC236}">
              <a16:creationId xmlns:a16="http://schemas.microsoft.com/office/drawing/2014/main" id="{D3C83501-B067-4942-A961-BD6AF8AD7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251</xdr:row>
      <xdr:rowOff>0</xdr:rowOff>
    </xdr:from>
    <xdr:ext cx="571500" cy="362114"/>
    <xdr:pic>
      <xdr:nvPicPr>
        <xdr:cNvPr id="109" name="Picture 108">
          <a:extLst>
            <a:ext uri="{FF2B5EF4-FFF2-40B4-BE49-F238E27FC236}">
              <a16:creationId xmlns:a16="http://schemas.microsoft.com/office/drawing/2014/main" id="{8D0068DB-9EA0-4720-9571-6B154B6A1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254</xdr:row>
      <xdr:rowOff>95249</xdr:rowOff>
    </xdr:from>
    <xdr:ext cx="2533650" cy="773257"/>
    <xdr:pic>
      <xdr:nvPicPr>
        <xdr:cNvPr id="110" name="Picture 109">
          <a:extLst>
            <a:ext uri="{FF2B5EF4-FFF2-40B4-BE49-F238E27FC236}">
              <a16:creationId xmlns:a16="http://schemas.microsoft.com/office/drawing/2014/main" id="{0C8A60E9-4456-4151-90EC-785372FE2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258</xdr:row>
      <xdr:rowOff>0</xdr:rowOff>
    </xdr:from>
    <xdr:ext cx="571500" cy="362114"/>
    <xdr:pic>
      <xdr:nvPicPr>
        <xdr:cNvPr id="111" name="Picture 110">
          <a:extLst>
            <a:ext uri="{FF2B5EF4-FFF2-40B4-BE49-F238E27FC236}">
              <a16:creationId xmlns:a16="http://schemas.microsoft.com/office/drawing/2014/main" id="{B472259C-AE20-4847-8047-79F3CA812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258</xdr:row>
      <xdr:rowOff>0</xdr:rowOff>
    </xdr:from>
    <xdr:ext cx="571500" cy="362114"/>
    <xdr:pic>
      <xdr:nvPicPr>
        <xdr:cNvPr id="112" name="Picture 111">
          <a:extLst>
            <a:ext uri="{FF2B5EF4-FFF2-40B4-BE49-F238E27FC236}">
              <a16:creationId xmlns:a16="http://schemas.microsoft.com/office/drawing/2014/main" id="{DA772D10-550B-468A-8E1E-1FBB21651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261</xdr:row>
      <xdr:rowOff>95249</xdr:rowOff>
    </xdr:from>
    <xdr:ext cx="2533650" cy="773257"/>
    <xdr:pic>
      <xdr:nvPicPr>
        <xdr:cNvPr id="113" name="Picture 112">
          <a:extLst>
            <a:ext uri="{FF2B5EF4-FFF2-40B4-BE49-F238E27FC236}">
              <a16:creationId xmlns:a16="http://schemas.microsoft.com/office/drawing/2014/main" id="{9CB0E117-B0B7-4864-81E6-4C1763995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265</xdr:row>
      <xdr:rowOff>0</xdr:rowOff>
    </xdr:from>
    <xdr:ext cx="571500" cy="362114"/>
    <xdr:pic>
      <xdr:nvPicPr>
        <xdr:cNvPr id="114" name="Picture 113">
          <a:extLst>
            <a:ext uri="{FF2B5EF4-FFF2-40B4-BE49-F238E27FC236}">
              <a16:creationId xmlns:a16="http://schemas.microsoft.com/office/drawing/2014/main" id="{9BC9FF8B-C995-4C04-A457-67BDA436E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265</xdr:row>
      <xdr:rowOff>0</xdr:rowOff>
    </xdr:from>
    <xdr:ext cx="571500" cy="362114"/>
    <xdr:pic>
      <xdr:nvPicPr>
        <xdr:cNvPr id="115" name="Picture 114">
          <a:extLst>
            <a:ext uri="{FF2B5EF4-FFF2-40B4-BE49-F238E27FC236}">
              <a16:creationId xmlns:a16="http://schemas.microsoft.com/office/drawing/2014/main" id="{0A085D77-478F-4F2A-A2D4-87133C4AB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268</xdr:row>
      <xdr:rowOff>95249</xdr:rowOff>
    </xdr:from>
    <xdr:ext cx="2533650" cy="773257"/>
    <xdr:pic>
      <xdr:nvPicPr>
        <xdr:cNvPr id="116" name="Picture 115">
          <a:extLst>
            <a:ext uri="{FF2B5EF4-FFF2-40B4-BE49-F238E27FC236}">
              <a16:creationId xmlns:a16="http://schemas.microsoft.com/office/drawing/2014/main" id="{ACD3E9EF-8C55-45D4-9104-AA2CE79AD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272</xdr:row>
      <xdr:rowOff>0</xdr:rowOff>
    </xdr:from>
    <xdr:ext cx="571500" cy="362114"/>
    <xdr:pic>
      <xdr:nvPicPr>
        <xdr:cNvPr id="117" name="Picture 116">
          <a:extLst>
            <a:ext uri="{FF2B5EF4-FFF2-40B4-BE49-F238E27FC236}">
              <a16:creationId xmlns:a16="http://schemas.microsoft.com/office/drawing/2014/main" id="{A0ED1057-1378-4524-99B2-F645C3ABF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272</xdr:row>
      <xdr:rowOff>0</xdr:rowOff>
    </xdr:from>
    <xdr:ext cx="571500" cy="362114"/>
    <xdr:pic>
      <xdr:nvPicPr>
        <xdr:cNvPr id="118" name="Picture 117">
          <a:extLst>
            <a:ext uri="{FF2B5EF4-FFF2-40B4-BE49-F238E27FC236}">
              <a16:creationId xmlns:a16="http://schemas.microsoft.com/office/drawing/2014/main" id="{E2B6791C-EF9B-4484-9EC8-263F6DFAC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275</xdr:row>
      <xdr:rowOff>95249</xdr:rowOff>
    </xdr:from>
    <xdr:ext cx="2533650" cy="773257"/>
    <xdr:pic>
      <xdr:nvPicPr>
        <xdr:cNvPr id="119" name="Picture 118">
          <a:extLst>
            <a:ext uri="{FF2B5EF4-FFF2-40B4-BE49-F238E27FC236}">
              <a16:creationId xmlns:a16="http://schemas.microsoft.com/office/drawing/2014/main" id="{457A970D-C551-4D9C-B505-B399F83DD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279</xdr:row>
      <xdr:rowOff>0</xdr:rowOff>
    </xdr:from>
    <xdr:ext cx="571500" cy="362114"/>
    <xdr:pic>
      <xdr:nvPicPr>
        <xdr:cNvPr id="120" name="Picture 119">
          <a:extLst>
            <a:ext uri="{FF2B5EF4-FFF2-40B4-BE49-F238E27FC236}">
              <a16:creationId xmlns:a16="http://schemas.microsoft.com/office/drawing/2014/main" id="{A9334A4D-E610-403D-8C0F-AF236266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279</xdr:row>
      <xdr:rowOff>0</xdr:rowOff>
    </xdr:from>
    <xdr:ext cx="571500" cy="362114"/>
    <xdr:pic>
      <xdr:nvPicPr>
        <xdr:cNvPr id="121" name="Picture 120">
          <a:extLst>
            <a:ext uri="{FF2B5EF4-FFF2-40B4-BE49-F238E27FC236}">
              <a16:creationId xmlns:a16="http://schemas.microsoft.com/office/drawing/2014/main" id="{D6C6B3DF-8A3D-4B6D-88E9-A1D815D43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282</xdr:row>
      <xdr:rowOff>95249</xdr:rowOff>
    </xdr:from>
    <xdr:ext cx="2533650" cy="773257"/>
    <xdr:pic>
      <xdr:nvPicPr>
        <xdr:cNvPr id="122" name="Picture 121">
          <a:extLst>
            <a:ext uri="{FF2B5EF4-FFF2-40B4-BE49-F238E27FC236}">
              <a16:creationId xmlns:a16="http://schemas.microsoft.com/office/drawing/2014/main" id="{914C9964-C3EB-46AA-8EF3-B4F873289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286</xdr:row>
      <xdr:rowOff>0</xdr:rowOff>
    </xdr:from>
    <xdr:ext cx="571500" cy="362114"/>
    <xdr:pic>
      <xdr:nvPicPr>
        <xdr:cNvPr id="123" name="Picture 122">
          <a:extLst>
            <a:ext uri="{FF2B5EF4-FFF2-40B4-BE49-F238E27FC236}">
              <a16:creationId xmlns:a16="http://schemas.microsoft.com/office/drawing/2014/main" id="{592EAF35-1556-45FD-8E16-F3B6E5214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286</xdr:row>
      <xdr:rowOff>0</xdr:rowOff>
    </xdr:from>
    <xdr:ext cx="571500" cy="362114"/>
    <xdr:pic>
      <xdr:nvPicPr>
        <xdr:cNvPr id="124" name="Picture 123">
          <a:extLst>
            <a:ext uri="{FF2B5EF4-FFF2-40B4-BE49-F238E27FC236}">
              <a16:creationId xmlns:a16="http://schemas.microsoft.com/office/drawing/2014/main" id="{3E4716C4-968C-4249-854E-31E843B98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289</xdr:row>
      <xdr:rowOff>95249</xdr:rowOff>
    </xdr:from>
    <xdr:ext cx="2533650" cy="773257"/>
    <xdr:pic>
      <xdr:nvPicPr>
        <xdr:cNvPr id="125" name="Picture 124">
          <a:extLst>
            <a:ext uri="{FF2B5EF4-FFF2-40B4-BE49-F238E27FC236}">
              <a16:creationId xmlns:a16="http://schemas.microsoft.com/office/drawing/2014/main" id="{67D66D64-73CD-4DF2-BC61-BFE475BB7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293</xdr:row>
      <xdr:rowOff>0</xdr:rowOff>
    </xdr:from>
    <xdr:ext cx="571500" cy="362114"/>
    <xdr:pic>
      <xdr:nvPicPr>
        <xdr:cNvPr id="126" name="Picture 125">
          <a:extLst>
            <a:ext uri="{FF2B5EF4-FFF2-40B4-BE49-F238E27FC236}">
              <a16:creationId xmlns:a16="http://schemas.microsoft.com/office/drawing/2014/main" id="{CE9BFE9A-7556-4AC3-8034-7A6C7DF3A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293</xdr:row>
      <xdr:rowOff>0</xdr:rowOff>
    </xdr:from>
    <xdr:ext cx="571500" cy="362114"/>
    <xdr:pic>
      <xdr:nvPicPr>
        <xdr:cNvPr id="127" name="Picture 126">
          <a:extLst>
            <a:ext uri="{FF2B5EF4-FFF2-40B4-BE49-F238E27FC236}">
              <a16:creationId xmlns:a16="http://schemas.microsoft.com/office/drawing/2014/main" id="{B4C93950-746B-4817-A350-2ED60BD41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296</xdr:row>
      <xdr:rowOff>95249</xdr:rowOff>
    </xdr:from>
    <xdr:ext cx="2533650" cy="773257"/>
    <xdr:pic>
      <xdr:nvPicPr>
        <xdr:cNvPr id="128" name="Picture 127">
          <a:extLst>
            <a:ext uri="{FF2B5EF4-FFF2-40B4-BE49-F238E27FC236}">
              <a16:creationId xmlns:a16="http://schemas.microsoft.com/office/drawing/2014/main" id="{E02A4BB3-EF8F-42C2-B979-E9855F2E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300</xdr:row>
      <xdr:rowOff>0</xdr:rowOff>
    </xdr:from>
    <xdr:ext cx="571500" cy="362114"/>
    <xdr:pic>
      <xdr:nvPicPr>
        <xdr:cNvPr id="129" name="Picture 128">
          <a:extLst>
            <a:ext uri="{FF2B5EF4-FFF2-40B4-BE49-F238E27FC236}">
              <a16:creationId xmlns:a16="http://schemas.microsoft.com/office/drawing/2014/main" id="{3291D0D2-8E29-4C16-8CDC-51713B8F1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300</xdr:row>
      <xdr:rowOff>0</xdr:rowOff>
    </xdr:from>
    <xdr:ext cx="571500" cy="362114"/>
    <xdr:pic>
      <xdr:nvPicPr>
        <xdr:cNvPr id="130" name="Picture 129">
          <a:extLst>
            <a:ext uri="{FF2B5EF4-FFF2-40B4-BE49-F238E27FC236}">
              <a16:creationId xmlns:a16="http://schemas.microsoft.com/office/drawing/2014/main" id="{E5BD0328-8471-47A1-81A3-83F529231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303</xdr:row>
      <xdr:rowOff>95249</xdr:rowOff>
    </xdr:from>
    <xdr:ext cx="2533650" cy="773257"/>
    <xdr:pic>
      <xdr:nvPicPr>
        <xdr:cNvPr id="131" name="Picture 130">
          <a:extLst>
            <a:ext uri="{FF2B5EF4-FFF2-40B4-BE49-F238E27FC236}">
              <a16:creationId xmlns:a16="http://schemas.microsoft.com/office/drawing/2014/main" id="{AD9AE01D-4D31-4FFB-A23B-98B907AE7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307</xdr:row>
      <xdr:rowOff>0</xdr:rowOff>
    </xdr:from>
    <xdr:ext cx="571500" cy="362114"/>
    <xdr:pic>
      <xdr:nvPicPr>
        <xdr:cNvPr id="132" name="Picture 131">
          <a:extLst>
            <a:ext uri="{FF2B5EF4-FFF2-40B4-BE49-F238E27FC236}">
              <a16:creationId xmlns:a16="http://schemas.microsoft.com/office/drawing/2014/main" id="{AD272CB6-D7CC-4A1D-B99E-856176FA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307</xdr:row>
      <xdr:rowOff>0</xdr:rowOff>
    </xdr:from>
    <xdr:ext cx="571500" cy="362114"/>
    <xdr:pic>
      <xdr:nvPicPr>
        <xdr:cNvPr id="133" name="Picture 132">
          <a:extLst>
            <a:ext uri="{FF2B5EF4-FFF2-40B4-BE49-F238E27FC236}">
              <a16:creationId xmlns:a16="http://schemas.microsoft.com/office/drawing/2014/main" id="{D86C7BAE-17DA-4B29-923E-8D462C285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310</xdr:row>
      <xdr:rowOff>95249</xdr:rowOff>
    </xdr:from>
    <xdr:ext cx="2533650" cy="773257"/>
    <xdr:pic>
      <xdr:nvPicPr>
        <xdr:cNvPr id="134" name="Picture 133">
          <a:extLst>
            <a:ext uri="{FF2B5EF4-FFF2-40B4-BE49-F238E27FC236}">
              <a16:creationId xmlns:a16="http://schemas.microsoft.com/office/drawing/2014/main" id="{A0A249E6-A1B8-41FE-B548-D037191AA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314</xdr:row>
      <xdr:rowOff>0</xdr:rowOff>
    </xdr:from>
    <xdr:ext cx="571500" cy="362114"/>
    <xdr:pic>
      <xdr:nvPicPr>
        <xdr:cNvPr id="135" name="Picture 134">
          <a:extLst>
            <a:ext uri="{FF2B5EF4-FFF2-40B4-BE49-F238E27FC236}">
              <a16:creationId xmlns:a16="http://schemas.microsoft.com/office/drawing/2014/main" id="{0BFB6843-900F-47DF-A0AF-8AE29FE5C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314</xdr:row>
      <xdr:rowOff>0</xdr:rowOff>
    </xdr:from>
    <xdr:ext cx="571500" cy="362114"/>
    <xdr:pic>
      <xdr:nvPicPr>
        <xdr:cNvPr id="136" name="Picture 135">
          <a:extLst>
            <a:ext uri="{FF2B5EF4-FFF2-40B4-BE49-F238E27FC236}">
              <a16:creationId xmlns:a16="http://schemas.microsoft.com/office/drawing/2014/main" id="{02A78A41-944A-4666-8DFC-D8FE8E7C2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317</xdr:row>
      <xdr:rowOff>95249</xdr:rowOff>
    </xdr:from>
    <xdr:ext cx="2533650" cy="773257"/>
    <xdr:pic>
      <xdr:nvPicPr>
        <xdr:cNvPr id="137" name="Picture 136">
          <a:extLst>
            <a:ext uri="{FF2B5EF4-FFF2-40B4-BE49-F238E27FC236}">
              <a16:creationId xmlns:a16="http://schemas.microsoft.com/office/drawing/2014/main" id="{2B20C375-09BF-46D2-9D13-5E7E629CE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321</xdr:row>
      <xdr:rowOff>0</xdr:rowOff>
    </xdr:from>
    <xdr:ext cx="571500" cy="362114"/>
    <xdr:pic>
      <xdr:nvPicPr>
        <xdr:cNvPr id="138" name="Picture 137">
          <a:extLst>
            <a:ext uri="{FF2B5EF4-FFF2-40B4-BE49-F238E27FC236}">
              <a16:creationId xmlns:a16="http://schemas.microsoft.com/office/drawing/2014/main" id="{53AF6505-9941-46DD-A6D5-CFC1AA0B5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321</xdr:row>
      <xdr:rowOff>0</xdr:rowOff>
    </xdr:from>
    <xdr:ext cx="571500" cy="362114"/>
    <xdr:pic>
      <xdr:nvPicPr>
        <xdr:cNvPr id="139" name="Picture 138">
          <a:extLst>
            <a:ext uri="{FF2B5EF4-FFF2-40B4-BE49-F238E27FC236}">
              <a16:creationId xmlns:a16="http://schemas.microsoft.com/office/drawing/2014/main" id="{D6BA4F23-990C-4191-867F-469DEA275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324</xdr:row>
      <xdr:rowOff>95249</xdr:rowOff>
    </xdr:from>
    <xdr:ext cx="2533650" cy="773257"/>
    <xdr:pic>
      <xdr:nvPicPr>
        <xdr:cNvPr id="140" name="Picture 139">
          <a:extLst>
            <a:ext uri="{FF2B5EF4-FFF2-40B4-BE49-F238E27FC236}">
              <a16:creationId xmlns:a16="http://schemas.microsoft.com/office/drawing/2014/main" id="{5EE3F709-2752-412E-AE68-D47BAF2CB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328</xdr:row>
      <xdr:rowOff>0</xdr:rowOff>
    </xdr:from>
    <xdr:ext cx="571500" cy="362114"/>
    <xdr:pic>
      <xdr:nvPicPr>
        <xdr:cNvPr id="141" name="Picture 140">
          <a:extLst>
            <a:ext uri="{FF2B5EF4-FFF2-40B4-BE49-F238E27FC236}">
              <a16:creationId xmlns:a16="http://schemas.microsoft.com/office/drawing/2014/main" id="{4280091F-426D-4349-8654-C1578226D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328</xdr:row>
      <xdr:rowOff>0</xdr:rowOff>
    </xdr:from>
    <xdr:ext cx="571500" cy="362114"/>
    <xdr:pic>
      <xdr:nvPicPr>
        <xdr:cNvPr id="142" name="Picture 141">
          <a:extLst>
            <a:ext uri="{FF2B5EF4-FFF2-40B4-BE49-F238E27FC236}">
              <a16:creationId xmlns:a16="http://schemas.microsoft.com/office/drawing/2014/main" id="{59CF4D3D-FC04-4F35-9003-1F7C79E94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331</xdr:row>
      <xdr:rowOff>95249</xdr:rowOff>
    </xdr:from>
    <xdr:ext cx="2533650" cy="773257"/>
    <xdr:pic>
      <xdr:nvPicPr>
        <xdr:cNvPr id="143" name="Picture 142">
          <a:extLst>
            <a:ext uri="{FF2B5EF4-FFF2-40B4-BE49-F238E27FC236}">
              <a16:creationId xmlns:a16="http://schemas.microsoft.com/office/drawing/2014/main" id="{3CD06F29-6013-4ED3-8DAB-ADEF497B0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335</xdr:row>
      <xdr:rowOff>0</xdr:rowOff>
    </xdr:from>
    <xdr:ext cx="571500" cy="362114"/>
    <xdr:pic>
      <xdr:nvPicPr>
        <xdr:cNvPr id="144" name="Picture 143">
          <a:extLst>
            <a:ext uri="{FF2B5EF4-FFF2-40B4-BE49-F238E27FC236}">
              <a16:creationId xmlns:a16="http://schemas.microsoft.com/office/drawing/2014/main" id="{46454F39-C143-4DBE-9B69-261193715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335</xdr:row>
      <xdr:rowOff>0</xdr:rowOff>
    </xdr:from>
    <xdr:ext cx="571500" cy="362114"/>
    <xdr:pic>
      <xdr:nvPicPr>
        <xdr:cNvPr id="145" name="Picture 144">
          <a:extLst>
            <a:ext uri="{FF2B5EF4-FFF2-40B4-BE49-F238E27FC236}">
              <a16:creationId xmlns:a16="http://schemas.microsoft.com/office/drawing/2014/main" id="{B2C1EFDC-6DC4-4C8C-B00E-AFC26270D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338</xdr:row>
      <xdr:rowOff>95249</xdr:rowOff>
    </xdr:from>
    <xdr:ext cx="2533650" cy="773257"/>
    <xdr:pic>
      <xdr:nvPicPr>
        <xdr:cNvPr id="146" name="Picture 145">
          <a:extLst>
            <a:ext uri="{FF2B5EF4-FFF2-40B4-BE49-F238E27FC236}">
              <a16:creationId xmlns:a16="http://schemas.microsoft.com/office/drawing/2014/main" id="{947B6320-21A4-43F1-A3DF-8724606AF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342</xdr:row>
      <xdr:rowOff>0</xdr:rowOff>
    </xdr:from>
    <xdr:ext cx="571500" cy="362114"/>
    <xdr:pic>
      <xdr:nvPicPr>
        <xdr:cNvPr id="147" name="Picture 146">
          <a:extLst>
            <a:ext uri="{FF2B5EF4-FFF2-40B4-BE49-F238E27FC236}">
              <a16:creationId xmlns:a16="http://schemas.microsoft.com/office/drawing/2014/main" id="{5131737E-6A9C-48D8-AF53-73BA7227E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342</xdr:row>
      <xdr:rowOff>0</xdr:rowOff>
    </xdr:from>
    <xdr:ext cx="571500" cy="362114"/>
    <xdr:pic>
      <xdr:nvPicPr>
        <xdr:cNvPr id="148" name="Picture 147">
          <a:extLst>
            <a:ext uri="{FF2B5EF4-FFF2-40B4-BE49-F238E27FC236}">
              <a16:creationId xmlns:a16="http://schemas.microsoft.com/office/drawing/2014/main" id="{B6301198-1165-437D-9403-4E6C75FE5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345</xdr:row>
      <xdr:rowOff>95249</xdr:rowOff>
    </xdr:from>
    <xdr:ext cx="2533650" cy="773257"/>
    <xdr:pic>
      <xdr:nvPicPr>
        <xdr:cNvPr id="149" name="Picture 148">
          <a:extLst>
            <a:ext uri="{FF2B5EF4-FFF2-40B4-BE49-F238E27FC236}">
              <a16:creationId xmlns:a16="http://schemas.microsoft.com/office/drawing/2014/main" id="{5A28F6D5-A544-415D-8AC0-653A8F177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349</xdr:row>
      <xdr:rowOff>0</xdr:rowOff>
    </xdr:from>
    <xdr:ext cx="571500" cy="362114"/>
    <xdr:pic>
      <xdr:nvPicPr>
        <xdr:cNvPr id="150" name="Picture 149">
          <a:extLst>
            <a:ext uri="{FF2B5EF4-FFF2-40B4-BE49-F238E27FC236}">
              <a16:creationId xmlns:a16="http://schemas.microsoft.com/office/drawing/2014/main" id="{9C8D3AB4-491E-447D-858C-5D14F1B73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349</xdr:row>
      <xdr:rowOff>0</xdr:rowOff>
    </xdr:from>
    <xdr:ext cx="571500" cy="362114"/>
    <xdr:pic>
      <xdr:nvPicPr>
        <xdr:cNvPr id="151" name="Picture 150">
          <a:extLst>
            <a:ext uri="{FF2B5EF4-FFF2-40B4-BE49-F238E27FC236}">
              <a16:creationId xmlns:a16="http://schemas.microsoft.com/office/drawing/2014/main" id="{F4F0113C-5345-473E-8A97-5C34AC5BF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352</xdr:row>
      <xdr:rowOff>95249</xdr:rowOff>
    </xdr:from>
    <xdr:ext cx="2533650" cy="773257"/>
    <xdr:pic>
      <xdr:nvPicPr>
        <xdr:cNvPr id="152" name="Picture 151">
          <a:extLst>
            <a:ext uri="{FF2B5EF4-FFF2-40B4-BE49-F238E27FC236}">
              <a16:creationId xmlns:a16="http://schemas.microsoft.com/office/drawing/2014/main" id="{9A83E7BD-E184-422B-A72B-B913005A2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356</xdr:row>
      <xdr:rowOff>0</xdr:rowOff>
    </xdr:from>
    <xdr:ext cx="571500" cy="362114"/>
    <xdr:pic>
      <xdr:nvPicPr>
        <xdr:cNvPr id="153" name="Picture 152">
          <a:extLst>
            <a:ext uri="{FF2B5EF4-FFF2-40B4-BE49-F238E27FC236}">
              <a16:creationId xmlns:a16="http://schemas.microsoft.com/office/drawing/2014/main" id="{60E0CE55-823F-4FB7-8247-B02FDE345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356</xdr:row>
      <xdr:rowOff>0</xdr:rowOff>
    </xdr:from>
    <xdr:ext cx="571500" cy="362114"/>
    <xdr:pic>
      <xdr:nvPicPr>
        <xdr:cNvPr id="154" name="Picture 153">
          <a:extLst>
            <a:ext uri="{FF2B5EF4-FFF2-40B4-BE49-F238E27FC236}">
              <a16:creationId xmlns:a16="http://schemas.microsoft.com/office/drawing/2014/main" id="{B3A4C547-D8BF-4692-9340-EE87E23CF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359</xdr:row>
      <xdr:rowOff>95249</xdr:rowOff>
    </xdr:from>
    <xdr:ext cx="2533650" cy="773257"/>
    <xdr:pic>
      <xdr:nvPicPr>
        <xdr:cNvPr id="155" name="Picture 154">
          <a:extLst>
            <a:ext uri="{FF2B5EF4-FFF2-40B4-BE49-F238E27FC236}">
              <a16:creationId xmlns:a16="http://schemas.microsoft.com/office/drawing/2014/main" id="{7B42DFDC-2DE5-4B66-8945-C9D96978D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363</xdr:row>
      <xdr:rowOff>0</xdr:rowOff>
    </xdr:from>
    <xdr:ext cx="571500" cy="362114"/>
    <xdr:pic>
      <xdr:nvPicPr>
        <xdr:cNvPr id="156" name="Picture 155">
          <a:extLst>
            <a:ext uri="{FF2B5EF4-FFF2-40B4-BE49-F238E27FC236}">
              <a16:creationId xmlns:a16="http://schemas.microsoft.com/office/drawing/2014/main" id="{BE3755A0-77AE-4713-8435-92CA3BE79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363</xdr:row>
      <xdr:rowOff>0</xdr:rowOff>
    </xdr:from>
    <xdr:ext cx="571500" cy="362114"/>
    <xdr:pic>
      <xdr:nvPicPr>
        <xdr:cNvPr id="157" name="Picture 156">
          <a:extLst>
            <a:ext uri="{FF2B5EF4-FFF2-40B4-BE49-F238E27FC236}">
              <a16:creationId xmlns:a16="http://schemas.microsoft.com/office/drawing/2014/main" id="{CA100093-D01E-4743-B91E-AED9D6787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366</xdr:row>
      <xdr:rowOff>95249</xdr:rowOff>
    </xdr:from>
    <xdr:ext cx="2533650" cy="773257"/>
    <xdr:pic>
      <xdr:nvPicPr>
        <xdr:cNvPr id="158" name="Picture 157">
          <a:extLst>
            <a:ext uri="{FF2B5EF4-FFF2-40B4-BE49-F238E27FC236}">
              <a16:creationId xmlns:a16="http://schemas.microsoft.com/office/drawing/2014/main" id="{83729A9E-2413-48B7-9D82-21850BF46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370</xdr:row>
      <xdr:rowOff>0</xdr:rowOff>
    </xdr:from>
    <xdr:ext cx="571500" cy="362114"/>
    <xdr:pic>
      <xdr:nvPicPr>
        <xdr:cNvPr id="159" name="Picture 158">
          <a:extLst>
            <a:ext uri="{FF2B5EF4-FFF2-40B4-BE49-F238E27FC236}">
              <a16:creationId xmlns:a16="http://schemas.microsoft.com/office/drawing/2014/main" id="{E6C8A460-F848-426C-82ED-16022125A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370</xdr:row>
      <xdr:rowOff>0</xdr:rowOff>
    </xdr:from>
    <xdr:ext cx="571500" cy="362114"/>
    <xdr:pic>
      <xdr:nvPicPr>
        <xdr:cNvPr id="160" name="Picture 159">
          <a:extLst>
            <a:ext uri="{FF2B5EF4-FFF2-40B4-BE49-F238E27FC236}">
              <a16:creationId xmlns:a16="http://schemas.microsoft.com/office/drawing/2014/main" id="{670ADD70-46FC-4D60-937C-B2442CAF6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373</xdr:row>
      <xdr:rowOff>95249</xdr:rowOff>
    </xdr:from>
    <xdr:ext cx="2533650" cy="773257"/>
    <xdr:pic>
      <xdr:nvPicPr>
        <xdr:cNvPr id="161" name="Picture 160">
          <a:extLst>
            <a:ext uri="{FF2B5EF4-FFF2-40B4-BE49-F238E27FC236}">
              <a16:creationId xmlns:a16="http://schemas.microsoft.com/office/drawing/2014/main" id="{870AE785-F597-4FF0-9A7E-D6D3FF290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377</xdr:row>
      <xdr:rowOff>0</xdr:rowOff>
    </xdr:from>
    <xdr:ext cx="571500" cy="362114"/>
    <xdr:pic>
      <xdr:nvPicPr>
        <xdr:cNvPr id="162" name="Picture 161">
          <a:extLst>
            <a:ext uri="{FF2B5EF4-FFF2-40B4-BE49-F238E27FC236}">
              <a16:creationId xmlns:a16="http://schemas.microsoft.com/office/drawing/2014/main" id="{CC810315-44BB-4FC5-901C-E938B47BB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377</xdr:row>
      <xdr:rowOff>0</xdr:rowOff>
    </xdr:from>
    <xdr:ext cx="571500" cy="362114"/>
    <xdr:pic>
      <xdr:nvPicPr>
        <xdr:cNvPr id="163" name="Picture 162">
          <a:extLst>
            <a:ext uri="{FF2B5EF4-FFF2-40B4-BE49-F238E27FC236}">
              <a16:creationId xmlns:a16="http://schemas.microsoft.com/office/drawing/2014/main" id="{619BA614-3989-4326-B065-7CE9225A1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380</xdr:row>
      <xdr:rowOff>95249</xdr:rowOff>
    </xdr:from>
    <xdr:ext cx="2533650" cy="773257"/>
    <xdr:pic>
      <xdr:nvPicPr>
        <xdr:cNvPr id="164" name="Picture 163">
          <a:extLst>
            <a:ext uri="{FF2B5EF4-FFF2-40B4-BE49-F238E27FC236}">
              <a16:creationId xmlns:a16="http://schemas.microsoft.com/office/drawing/2014/main" id="{D215532D-640A-4EC5-BC59-F4C4B8F22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384</xdr:row>
      <xdr:rowOff>0</xdr:rowOff>
    </xdr:from>
    <xdr:ext cx="571500" cy="362114"/>
    <xdr:pic>
      <xdr:nvPicPr>
        <xdr:cNvPr id="165" name="Picture 164">
          <a:extLst>
            <a:ext uri="{FF2B5EF4-FFF2-40B4-BE49-F238E27FC236}">
              <a16:creationId xmlns:a16="http://schemas.microsoft.com/office/drawing/2014/main" id="{031DDAD8-F3F7-4938-96F4-EE497A778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384</xdr:row>
      <xdr:rowOff>0</xdr:rowOff>
    </xdr:from>
    <xdr:ext cx="571500" cy="362114"/>
    <xdr:pic>
      <xdr:nvPicPr>
        <xdr:cNvPr id="166" name="Picture 165">
          <a:extLst>
            <a:ext uri="{FF2B5EF4-FFF2-40B4-BE49-F238E27FC236}">
              <a16:creationId xmlns:a16="http://schemas.microsoft.com/office/drawing/2014/main" id="{605EB744-FA0B-4408-B445-B720F61F5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387</xdr:row>
      <xdr:rowOff>95249</xdr:rowOff>
    </xdr:from>
    <xdr:ext cx="2533650" cy="773257"/>
    <xdr:pic>
      <xdr:nvPicPr>
        <xdr:cNvPr id="167" name="Picture 166">
          <a:extLst>
            <a:ext uri="{FF2B5EF4-FFF2-40B4-BE49-F238E27FC236}">
              <a16:creationId xmlns:a16="http://schemas.microsoft.com/office/drawing/2014/main" id="{BEFFEE59-BF46-4EAB-99B2-50F8CD1AD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391</xdr:row>
      <xdr:rowOff>0</xdr:rowOff>
    </xdr:from>
    <xdr:ext cx="571500" cy="362114"/>
    <xdr:pic>
      <xdr:nvPicPr>
        <xdr:cNvPr id="168" name="Picture 167">
          <a:extLst>
            <a:ext uri="{FF2B5EF4-FFF2-40B4-BE49-F238E27FC236}">
              <a16:creationId xmlns:a16="http://schemas.microsoft.com/office/drawing/2014/main" id="{A5F29C4D-6775-431A-8D77-C4A432966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391</xdr:row>
      <xdr:rowOff>0</xdr:rowOff>
    </xdr:from>
    <xdr:ext cx="571500" cy="362114"/>
    <xdr:pic>
      <xdr:nvPicPr>
        <xdr:cNvPr id="169" name="Picture 168">
          <a:extLst>
            <a:ext uri="{FF2B5EF4-FFF2-40B4-BE49-F238E27FC236}">
              <a16:creationId xmlns:a16="http://schemas.microsoft.com/office/drawing/2014/main" id="{EA25B0B3-02E7-4A1B-A360-347C0D49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394</xdr:row>
      <xdr:rowOff>95249</xdr:rowOff>
    </xdr:from>
    <xdr:ext cx="2533650" cy="773257"/>
    <xdr:pic>
      <xdr:nvPicPr>
        <xdr:cNvPr id="170" name="Picture 169">
          <a:extLst>
            <a:ext uri="{FF2B5EF4-FFF2-40B4-BE49-F238E27FC236}">
              <a16:creationId xmlns:a16="http://schemas.microsoft.com/office/drawing/2014/main" id="{C4184A60-596A-464A-93C6-30444455D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398</xdr:row>
      <xdr:rowOff>0</xdr:rowOff>
    </xdr:from>
    <xdr:ext cx="571500" cy="362114"/>
    <xdr:pic>
      <xdr:nvPicPr>
        <xdr:cNvPr id="171" name="Picture 170">
          <a:extLst>
            <a:ext uri="{FF2B5EF4-FFF2-40B4-BE49-F238E27FC236}">
              <a16:creationId xmlns:a16="http://schemas.microsoft.com/office/drawing/2014/main" id="{181DDBBB-6CAE-404C-95ED-B85BDECA8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398</xdr:row>
      <xdr:rowOff>0</xdr:rowOff>
    </xdr:from>
    <xdr:ext cx="571500" cy="362114"/>
    <xdr:pic>
      <xdr:nvPicPr>
        <xdr:cNvPr id="172" name="Picture 171">
          <a:extLst>
            <a:ext uri="{FF2B5EF4-FFF2-40B4-BE49-F238E27FC236}">
              <a16:creationId xmlns:a16="http://schemas.microsoft.com/office/drawing/2014/main" id="{CDFA2BE8-A226-4CE6-8F84-999D1CC7C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401</xdr:row>
      <xdr:rowOff>95249</xdr:rowOff>
    </xdr:from>
    <xdr:ext cx="2533650" cy="773257"/>
    <xdr:pic>
      <xdr:nvPicPr>
        <xdr:cNvPr id="173" name="Picture 172">
          <a:extLst>
            <a:ext uri="{FF2B5EF4-FFF2-40B4-BE49-F238E27FC236}">
              <a16:creationId xmlns:a16="http://schemas.microsoft.com/office/drawing/2014/main" id="{9332781F-ACE2-4EAB-842C-8620E20A4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405</xdr:row>
      <xdr:rowOff>0</xdr:rowOff>
    </xdr:from>
    <xdr:ext cx="571500" cy="362114"/>
    <xdr:pic>
      <xdr:nvPicPr>
        <xdr:cNvPr id="174" name="Picture 173">
          <a:extLst>
            <a:ext uri="{FF2B5EF4-FFF2-40B4-BE49-F238E27FC236}">
              <a16:creationId xmlns:a16="http://schemas.microsoft.com/office/drawing/2014/main" id="{AFC459C3-806A-44D6-A3D7-D45CB1250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405</xdr:row>
      <xdr:rowOff>0</xdr:rowOff>
    </xdr:from>
    <xdr:ext cx="571500" cy="362114"/>
    <xdr:pic>
      <xdr:nvPicPr>
        <xdr:cNvPr id="175" name="Picture 174">
          <a:extLst>
            <a:ext uri="{FF2B5EF4-FFF2-40B4-BE49-F238E27FC236}">
              <a16:creationId xmlns:a16="http://schemas.microsoft.com/office/drawing/2014/main" id="{94944A57-FAD8-4265-BF50-5967A092C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408</xdr:row>
      <xdr:rowOff>95249</xdr:rowOff>
    </xdr:from>
    <xdr:ext cx="2533650" cy="773257"/>
    <xdr:pic>
      <xdr:nvPicPr>
        <xdr:cNvPr id="176" name="Picture 175">
          <a:extLst>
            <a:ext uri="{FF2B5EF4-FFF2-40B4-BE49-F238E27FC236}">
              <a16:creationId xmlns:a16="http://schemas.microsoft.com/office/drawing/2014/main" id="{CBCBE662-185C-4B5E-A5F5-E8241F225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412</xdr:row>
      <xdr:rowOff>0</xdr:rowOff>
    </xdr:from>
    <xdr:ext cx="571500" cy="362114"/>
    <xdr:pic>
      <xdr:nvPicPr>
        <xdr:cNvPr id="177" name="Picture 176">
          <a:extLst>
            <a:ext uri="{FF2B5EF4-FFF2-40B4-BE49-F238E27FC236}">
              <a16:creationId xmlns:a16="http://schemas.microsoft.com/office/drawing/2014/main" id="{3D5657F8-8AF1-4EAA-BE14-6745BBECF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412</xdr:row>
      <xdr:rowOff>0</xdr:rowOff>
    </xdr:from>
    <xdr:ext cx="571500" cy="362114"/>
    <xdr:pic>
      <xdr:nvPicPr>
        <xdr:cNvPr id="178" name="Picture 177">
          <a:extLst>
            <a:ext uri="{FF2B5EF4-FFF2-40B4-BE49-F238E27FC236}">
              <a16:creationId xmlns:a16="http://schemas.microsoft.com/office/drawing/2014/main" id="{9B1B7A3B-CA4C-46BD-A443-1D418A284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415</xdr:row>
      <xdr:rowOff>95249</xdr:rowOff>
    </xdr:from>
    <xdr:ext cx="2533650" cy="773257"/>
    <xdr:pic>
      <xdr:nvPicPr>
        <xdr:cNvPr id="179" name="Picture 178">
          <a:extLst>
            <a:ext uri="{FF2B5EF4-FFF2-40B4-BE49-F238E27FC236}">
              <a16:creationId xmlns:a16="http://schemas.microsoft.com/office/drawing/2014/main" id="{11BB8023-872E-4E78-8C68-493CB7087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419</xdr:row>
      <xdr:rowOff>0</xdr:rowOff>
    </xdr:from>
    <xdr:ext cx="571500" cy="362114"/>
    <xdr:pic>
      <xdr:nvPicPr>
        <xdr:cNvPr id="180" name="Picture 179">
          <a:extLst>
            <a:ext uri="{FF2B5EF4-FFF2-40B4-BE49-F238E27FC236}">
              <a16:creationId xmlns:a16="http://schemas.microsoft.com/office/drawing/2014/main" id="{123490D6-81F1-4C5B-B80D-11D22B833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419</xdr:row>
      <xdr:rowOff>0</xdr:rowOff>
    </xdr:from>
    <xdr:ext cx="571500" cy="362114"/>
    <xdr:pic>
      <xdr:nvPicPr>
        <xdr:cNvPr id="181" name="Picture 180">
          <a:extLst>
            <a:ext uri="{FF2B5EF4-FFF2-40B4-BE49-F238E27FC236}">
              <a16:creationId xmlns:a16="http://schemas.microsoft.com/office/drawing/2014/main" id="{154EAB70-060F-415D-9AEC-87DE650F2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422</xdr:row>
      <xdr:rowOff>95249</xdr:rowOff>
    </xdr:from>
    <xdr:ext cx="2533650" cy="773257"/>
    <xdr:pic>
      <xdr:nvPicPr>
        <xdr:cNvPr id="182" name="Picture 181">
          <a:extLst>
            <a:ext uri="{FF2B5EF4-FFF2-40B4-BE49-F238E27FC236}">
              <a16:creationId xmlns:a16="http://schemas.microsoft.com/office/drawing/2014/main" id="{DC6C5EB9-8E64-4806-AFC7-2A5E32A03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426</xdr:row>
      <xdr:rowOff>0</xdr:rowOff>
    </xdr:from>
    <xdr:ext cx="571500" cy="362114"/>
    <xdr:pic>
      <xdr:nvPicPr>
        <xdr:cNvPr id="183" name="Picture 182">
          <a:extLst>
            <a:ext uri="{FF2B5EF4-FFF2-40B4-BE49-F238E27FC236}">
              <a16:creationId xmlns:a16="http://schemas.microsoft.com/office/drawing/2014/main" id="{DD0E3A0A-7E46-40C1-98E2-CDE1E0686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426</xdr:row>
      <xdr:rowOff>0</xdr:rowOff>
    </xdr:from>
    <xdr:ext cx="571500" cy="362114"/>
    <xdr:pic>
      <xdr:nvPicPr>
        <xdr:cNvPr id="184" name="Picture 183">
          <a:extLst>
            <a:ext uri="{FF2B5EF4-FFF2-40B4-BE49-F238E27FC236}">
              <a16:creationId xmlns:a16="http://schemas.microsoft.com/office/drawing/2014/main" id="{54E30E69-3E16-4E84-9BED-35A6F73CA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429</xdr:row>
      <xdr:rowOff>95249</xdr:rowOff>
    </xdr:from>
    <xdr:ext cx="2533650" cy="773257"/>
    <xdr:pic>
      <xdr:nvPicPr>
        <xdr:cNvPr id="185" name="Picture 184">
          <a:extLst>
            <a:ext uri="{FF2B5EF4-FFF2-40B4-BE49-F238E27FC236}">
              <a16:creationId xmlns:a16="http://schemas.microsoft.com/office/drawing/2014/main" id="{8A0478B5-F73D-4259-9F20-1EF323948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433</xdr:row>
      <xdr:rowOff>0</xdr:rowOff>
    </xdr:from>
    <xdr:ext cx="571500" cy="362114"/>
    <xdr:pic>
      <xdr:nvPicPr>
        <xdr:cNvPr id="186" name="Picture 185">
          <a:extLst>
            <a:ext uri="{FF2B5EF4-FFF2-40B4-BE49-F238E27FC236}">
              <a16:creationId xmlns:a16="http://schemas.microsoft.com/office/drawing/2014/main" id="{34641675-114C-44D2-91E9-912688E0F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433</xdr:row>
      <xdr:rowOff>0</xdr:rowOff>
    </xdr:from>
    <xdr:ext cx="571500" cy="362114"/>
    <xdr:pic>
      <xdr:nvPicPr>
        <xdr:cNvPr id="187" name="Picture 186">
          <a:extLst>
            <a:ext uri="{FF2B5EF4-FFF2-40B4-BE49-F238E27FC236}">
              <a16:creationId xmlns:a16="http://schemas.microsoft.com/office/drawing/2014/main" id="{B66A520E-114F-4DDC-AD39-56644B4F4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436</xdr:row>
      <xdr:rowOff>95249</xdr:rowOff>
    </xdr:from>
    <xdr:ext cx="2533650" cy="773257"/>
    <xdr:pic>
      <xdr:nvPicPr>
        <xdr:cNvPr id="188" name="Picture 187">
          <a:extLst>
            <a:ext uri="{FF2B5EF4-FFF2-40B4-BE49-F238E27FC236}">
              <a16:creationId xmlns:a16="http://schemas.microsoft.com/office/drawing/2014/main" id="{20CD6AE7-79F3-4DCD-BB2E-7309F2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440</xdr:row>
      <xdr:rowOff>0</xdr:rowOff>
    </xdr:from>
    <xdr:ext cx="571500" cy="362114"/>
    <xdr:pic>
      <xdr:nvPicPr>
        <xdr:cNvPr id="189" name="Picture 188">
          <a:extLst>
            <a:ext uri="{FF2B5EF4-FFF2-40B4-BE49-F238E27FC236}">
              <a16:creationId xmlns:a16="http://schemas.microsoft.com/office/drawing/2014/main" id="{D884384B-DCB2-4CD0-B414-6ED36AB98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440</xdr:row>
      <xdr:rowOff>0</xdr:rowOff>
    </xdr:from>
    <xdr:ext cx="571500" cy="362114"/>
    <xdr:pic>
      <xdr:nvPicPr>
        <xdr:cNvPr id="190" name="Picture 189">
          <a:extLst>
            <a:ext uri="{FF2B5EF4-FFF2-40B4-BE49-F238E27FC236}">
              <a16:creationId xmlns:a16="http://schemas.microsoft.com/office/drawing/2014/main" id="{A6459AD9-7B6F-484C-8B8D-C222F9B41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443</xdr:row>
      <xdr:rowOff>95249</xdr:rowOff>
    </xdr:from>
    <xdr:ext cx="2533650" cy="773257"/>
    <xdr:pic>
      <xdr:nvPicPr>
        <xdr:cNvPr id="191" name="Picture 190">
          <a:extLst>
            <a:ext uri="{FF2B5EF4-FFF2-40B4-BE49-F238E27FC236}">
              <a16:creationId xmlns:a16="http://schemas.microsoft.com/office/drawing/2014/main" id="{6D243B2A-97B9-4007-B523-8708B3395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447</xdr:row>
      <xdr:rowOff>0</xdr:rowOff>
    </xdr:from>
    <xdr:ext cx="571500" cy="362114"/>
    <xdr:pic>
      <xdr:nvPicPr>
        <xdr:cNvPr id="192" name="Picture 191">
          <a:extLst>
            <a:ext uri="{FF2B5EF4-FFF2-40B4-BE49-F238E27FC236}">
              <a16:creationId xmlns:a16="http://schemas.microsoft.com/office/drawing/2014/main" id="{AD4ACCBE-3095-41EC-A7C5-D8EA6FFD9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447</xdr:row>
      <xdr:rowOff>0</xdr:rowOff>
    </xdr:from>
    <xdr:ext cx="571500" cy="362114"/>
    <xdr:pic>
      <xdr:nvPicPr>
        <xdr:cNvPr id="193" name="Picture 192">
          <a:extLst>
            <a:ext uri="{FF2B5EF4-FFF2-40B4-BE49-F238E27FC236}">
              <a16:creationId xmlns:a16="http://schemas.microsoft.com/office/drawing/2014/main" id="{2F46E1ED-8D80-4AEF-99E3-E855334BC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450</xdr:row>
      <xdr:rowOff>95249</xdr:rowOff>
    </xdr:from>
    <xdr:ext cx="2533650" cy="773257"/>
    <xdr:pic>
      <xdr:nvPicPr>
        <xdr:cNvPr id="194" name="Picture 193">
          <a:extLst>
            <a:ext uri="{FF2B5EF4-FFF2-40B4-BE49-F238E27FC236}">
              <a16:creationId xmlns:a16="http://schemas.microsoft.com/office/drawing/2014/main" id="{0F99959E-6350-4A11-B9CB-F9157B066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454</xdr:row>
      <xdr:rowOff>0</xdr:rowOff>
    </xdr:from>
    <xdr:ext cx="571500" cy="362114"/>
    <xdr:pic>
      <xdr:nvPicPr>
        <xdr:cNvPr id="195" name="Picture 194">
          <a:extLst>
            <a:ext uri="{FF2B5EF4-FFF2-40B4-BE49-F238E27FC236}">
              <a16:creationId xmlns:a16="http://schemas.microsoft.com/office/drawing/2014/main" id="{84C75930-D4C9-4251-AFC6-094C789AA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454</xdr:row>
      <xdr:rowOff>0</xdr:rowOff>
    </xdr:from>
    <xdr:ext cx="571500" cy="362114"/>
    <xdr:pic>
      <xdr:nvPicPr>
        <xdr:cNvPr id="196" name="Picture 195">
          <a:extLst>
            <a:ext uri="{FF2B5EF4-FFF2-40B4-BE49-F238E27FC236}">
              <a16:creationId xmlns:a16="http://schemas.microsoft.com/office/drawing/2014/main" id="{B2F3088C-24A6-4C72-B1DD-FCBCBFDF7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457</xdr:row>
      <xdr:rowOff>95249</xdr:rowOff>
    </xdr:from>
    <xdr:ext cx="2533650" cy="773257"/>
    <xdr:pic>
      <xdr:nvPicPr>
        <xdr:cNvPr id="197" name="Picture 196">
          <a:extLst>
            <a:ext uri="{FF2B5EF4-FFF2-40B4-BE49-F238E27FC236}">
              <a16:creationId xmlns:a16="http://schemas.microsoft.com/office/drawing/2014/main" id="{CB2E3871-8CF9-450A-9599-18C4778B7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461</xdr:row>
      <xdr:rowOff>0</xdr:rowOff>
    </xdr:from>
    <xdr:ext cx="571500" cy="362114"/>
    <xdr:pic>
      <xdr:nvPicPr>
        <xdr:cNvPr id="198" name="Picture 197">
          <a:extLst>
            <a:ext uri="{FF2B5EF4-FFF2-40B4-BE49-F238E27FC236}">
              <a16:creationId xmlns:a16="http://schemas.microsoft.com/office/drawing/2014/main" id="{6CDF5436-F155-42C8-B323-D4621513E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461</xdr:row>
      <xdr:rowOff>0</xdr:rowOff>
    </xdr:from>
    <xdr:ext cx="571500" cy="362114"/>
    <xdr:pic>
      <xdr:nvPicPr>
        <xdr:cNvPr id="199" name="Picture 198">
          <a:extLst>
            <a:ext uri="{FF2B5EF4-FFF2-40B4-BE49-F238E27FC236}">
              <a16:creationId xmlns:a16="http://schemas.microsoft.com/office/drawing/2014/main" id="{C4C5FEC7-C865-42C9-A3FA-35DA2ED34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464</xdr:row>
      <xdr:rowOff>95249</xdr:rowOff>
    </xdr:from>
    <xdr:ext cx="2533650" cy="773257"/>
    <xdr:pic>
      <xdr:nvPicPr>
        <xdr:cNvPr id="200" name="Picture 199">
          <a:extLst>
            <a:ext uri="{FF2B5EF4-FFF2-40B4-BE49-F238E27FC236}">
              <a16:creationId xmlns:a16="http://schemas.microsoft.com/office/drawing/2014/main" id="{BD719C6C-A155-4EA6-AE21-2D498CD34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468</xdr:row>
      <xdr:rowOff>0</xdr:rowOff>
    </xdr:from>
    <xdr:ext cx="571500" cy="362114"/>
    <xdr:pic>
      <xdr:nvPicPr>
        <xdr:cNvPr id="201" name="Picture 200">
          <a:extLst>
            <a:ext uri="{FF2B5EF4-FFF2-40B4-BE49-F238E27FC236}">
              <a16:creationId xmlns:a16="http://schemas.microsoft.com/office/drawing/2014/main" id="{1E76525E-CC87-43B5-A0F6-148035C8F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468</xdr:row>
      <xdr:rowOff>0</xdr:rowOff>
    </xdr:from>
    <xdr:ext cx="571500" cy="362114"/>
    <xdr:pic>
      <xdr:nvPicPr>
        <xdr:cNvPr id="202" name="Picture 201">
          <a:extLst>
            <a:ext uri="{FF2B5EF4-FFF2-40B4-BE49-F238E27FC236}">
              <a16:creationId xmlns:a16="http://schemas.microsoft.com/office/drawing/2014/main" id="{0E92D3BA-A8BC-403E-8871-5827E5414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471</xdr:row>
      <xdr:rowOff>95249</xdr:rowOff>
    </xdr:from>
    <xdr:ext cx="2533650" cy="773257"/>
    <xdr:pic>
      <xdr:nvPicPr>
        <xdr:cNvPr id="203" name="Picture 202">
          <a:extLst>
            <a:ext uri="{FF2B5EF4-FFF2-40B4-BE49-F238E27FC236}">
              <a16:creationId xmlns:a16="http://schemas.microsoft.com/office/drawing/2014/main" id="{594ADF6C-B030-48F7-90BF-1E72733E8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475</xdr:row>
      <xdr:rowOff>0</xdr:rowOff>
    </xdr:from>
    <xdr:ext cx="571500" cy="362114"/>
    <xdr:pic>
      <xdr:nvPicPr>
        <xdr:cNvPr id="204" name="Picture 203">
          <a:extLst>
            <a:ext uri="{FF2B5EF4-FFF2-40B4-BE49-F238E27FC236}">
              <a16:creationId xmlns:a16="http://schemas.microsoft.com/office/drawing/2014/main" id="{2CC54685-6CDA-433F-A189-2641E7877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475</xdr:row>
      <xdr:rowOff>0</xdr:rowOff>
    </xdr:from>
    <xdr:ext cx="571500" cy="362114"/>
    <xdr:pic>
      <xdr:nvPicPr>
        <xdr:cNvPr id="205" name="Picture 204">
          <a:extLst>
            <a:ext uri="{FF2B5EF4-FFF2-40B4-BE49-F238E27FC236}">
              <a16:creationId xmlns:a16="http://schemas.microsoft.com/office/drawing/2014/main" id="{3341D833-274B-46C9-B2FA-827C1389E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478</xdr:row>
      <xdr:rowOff>95249</xdr:rowOff>
    </xdr:from>
    <xdr:ext cx="2533650" cy="773257"/>
    <xdr:pic>
      <xdr:nvPicPr>
        <xdr:cNvPr id="206" name="Picture 205">
          <a:extLst>
            <a:ext uri="{FF2B5EF4-FFF2-40B4-BE49-F238E27FC236}">
              <a16:creationId xmlns:a16="http://schemas.microsoft.com/office/drawing/2014/main" id="{AACDEA1C-077A-4795-BBF9-93101E240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482</xdr:row>
      <xdr:rowOff>0</xdr:rowOff>
    </xdr:from>
    <xdr:ext cx="571500" cy="362114"/>
    <xdr:pic>
      <xdr:nvPicPr>
        <xdr:cNvPr id="207" name="Picture 206">
          <a:extLst>
            <a:ext uri="{FF2B5EF4-FFF2-40B4-BE49-F238E27FC236}">
              <a16:creationId xmlns:a16="http://schemas.microsoft.com/office/drawing/2014/main" id="{91F34830-6853-4D82-B72C-D102A2630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482</xdr:row>
      <xdr:rowOff>0</xdr:rowOff>
    </xdr:from>
    <xdr:ext cx="571500" cy="362114"/>
    <xdr:pic>
      <xdr:nvPicPr>
        <xdr:cNvPr id="208" name="Picture 207">
          <a:extLst>
            <a:ext uri="{FF2B5EF4-FFF2-40B4-BE49-F238E27FC236}">
              <a16:creationId xmlns:a16="http://schemas.microsoft.com/office/drawing/2014/main" id="{3B27FA5C-CFAB-49CB-8D2F-65337C1D1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485</xdr:row>
      <xdr:rowOff>95249</xdr:rowOff>
    </xdr:from>
    <xdr:ext cx="2533650" cy="773257"/>
    <xdr:pic>
      <xdr:nvPicPr>
        <xdr:cNvPr id="209" name="Picture 208">
          <a:extLst>
            <a:ext uri="{FF2B5EF4-FFF2-40B4-BE49-F238E27FC236}">
              <a16:creationId xmlns:a16="http://schemas.microsoft.com/office/drawing/2014/main" id="{A6228778-40F2-431C-9B6A-81DCDD07E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489</xdr:row>
      <xdr:rowOff>0</xdr:rowOff>
    </xdr:from>
    <xdr:ext cx="571500" cy="362114"/>
    <xdr:pic>
      <xdr:nvPicPr>
        <xdr:cNvPr id="210" name="Picture 209">
          <a:extLst>
            <a:ext uri="{FF2B5EF4-FFF2-40B4-BE49-F238E27FC236}">
              <a16:creationId xmlns:a16="http://schemas.microsoft.com/office/drawing/2014/main" id="{2FD19FC5-7050-4E81-BA3D-CF7072577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489</xdr:row>
      <xdr:rowOff>0</xdr:rowOff>
    </xdr:from>
    <xdr:ext cx="571500" cy="362114"/>
    <xdr:pic>
      <xdr:nvPicPr>
        <xdr:cNvPr id="211" name="Picture 210">
          <a:extLst>
            <a:ext uri="{FF2B5EF4-FFF2-40B4-BE49-F238E27FC236}">
              <a16:creationId xmlns:a16="http://schemas.microsoft.com/office/drawing/2014/main" id="{08210C09-023B-4A6A-9D4A-60B9CC1B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492</xdr:row>
      <xdr:rowOff>95249</xdr:rowOff>
    </xdr:from>
    <xdr:ext cx="2533650" cy="773257"/>
    <xdr:pic>
      <xdr:nvPicPr>
        <xdr:cNvPr id="212" name="Picture 211">
          <a:extLst>
            <a:ext uri="{FF2B5EF4-FFF2-40B4-BE49-F238E27FC236}">
              <a16:creationId xmlns:a16="http://schemas.microsoft.com/office/drawing/2014/main" id="{27AE3CBC-3E3A-4346-915C-D2C78224F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496</xdr:row>
      <xdr:rowOff>0</xdr:rowOff>
    </xdr:from>
    <xdr:ext cx="571500" cy="362114"/>
    <xdr:pic>
      <xdr:nvPicPr>
        <xdr:cNvPr id="213" name="Picture 212">
          <a:extLst>
            <a:ext uri="{FF2B5EF4-FFF2-40B4-BE49-F238E27FC236}">
              <a16:creationId xmlns:a16="http://schemas.microsoft.com/office/drawing/2014/main" id="{59A63433-3AD1-49CB-A0B5-310859E61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496</xdr:row>
      <xdr:rowOff>0</xdr:rowOff>
    </xdr:from>
    <xdr:ext cx="571500" cy="362114"/>
    <xdr:pic>
      <xdr:nvPicPr>
        <xdr:cNvPr id="214" name="Picture 213">
          <a:extLst>
            <a:ext uri="{FF2B5EF4-FFF2-40B4-BE49-F238E27FC236}">
              <a16:creationId xmlns:a16="http://schemas.microsoft.com/office/drawing/2014/main" id="{6EC2F719-B287-4646-92C6-45B1D8CBE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499</xdr:row>
      <xdr:rowOff>95249</xdr:rowOff>
    </xdr:from>
    <xdr:ext cx="2533650" cy="773257"/>
    <xdr:pic>
      <xdr:nvPicPr>
        <xdr:cNvPr id="215" name="Picture 214">
          <a:extLst>
            <a:ext uri="{FF2B5EF4-FFF2-40B4-BE49-F238E27FC236}">
              <a16:creationId xmlns:a16="http://schemas.microsoft.com/office/drawing/2014/main" id="{488AB659-543A-4A78-BD8B-059998FD6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503</xdr:row>
      <xdr:rowOff>0</xdr:rowOff>
    </xdr:from>
    <xdr:ext cx="571500" cy="362114"/>
    <xdr:pic>
      <xdr:nvPicPr>
        <xdr:cNvPr id="216" name="Picture 215">
          <a:extLst>
            <a:ext uri="{FF2B5EF4-FFF2-40B4-BE49-F238E27FC236}">
              <a16:creationId xmlns:a16="http://schemas.microsoft.com/office/drawing/2014/main" id="{4E3615BF-D088-4CCA-BE97-0D5FC2BF9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503</xdr:row>
      <xdr:rowOff>0</xdr:rowOff>
    </xdr:from>
    <xdr:ext cx="571500" cy="362114"/>
    <xdr:pic>
      <xdr:nvPicPr>
        <xdr:cNvPr id="217" name="Picture 216">
          <a:extLst>
            <a:ext uri="{FF2B5EF4-FFF2-40B4-BE49-F238E27FC236}">
              <a16:creationId xmlns:a16="http://schemas.microsoft.com/office/drawing/2014/main" id="{931AB6D5-A56A-474A-90C4-94D8ABC41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506</xdr:row>
      <xdr:rowOff>95249</xdr:rowOff>
    </xdr:from>
    <xdr:ext cx="2533650" cy="773257"/>
    <xdr:pic>
      <xdr:nvPicPr>
        <xdr:cNvPr id="218" name="Picture 217">
          <a:extLst>
            <a:ext uri="{FF2B5EF4-FFF2-40B4-BE49-F238E27FC236}">
              <a16:creationId xmlns:a16="http://schemas.microsoft.com/office/drawing/2014/main" id="{31543E2E-10BB-447B-A20A-419C1FD4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510</xdr:row>
      <xdr:rowOff>0</xdr:rowOff>
    </xdr:from>
    <xdr:ext cx="571500" cy="362114"/>
    <xdr:pic>
      <xdr:nvPicPr>
        <xdr:cNvPr id="219" name="Picture 218">
          <a:extLst>
            <a:ext uri="{FF2B5EF4-FFF2-40B4-BE49-F238E27FC236}">
              <a16:creationId xmlns:a16="http://schemas.microsoft.com/office/drawing/2014/main" id="{031F8C70-9C37-4352-82B3-EE0F30D37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510</xdr:row>
      <xdr:rowOff>0</xdr:rowOff>
    </xdr:from>
    <xdr:ext cx="571500" cy="362114"/>
    <xdr:pic>
      <xdr:nvPicPr>
        <xdr:cNvPr id="220" name="Picture 219">
          <a:extLst>
            <a:ext uri="{FF2B5EF4-FFF2-40B4-BE49-F238E27FC236}">
              <a16:creationId xmlns:a16="http://schemas.microsoft.com/office/drawing/2014/main" id="{6824BE35-73A7-4BB2-951F-F19EB901A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513</xdr:row>
      <xdr:rowOff>95249</xdr:rowOff>
    </xdr:from>
    <xdr:ext cx="2533650" cy="773257"/>
    <xdr:pic>
      <xdr:nvPicPr>
        <xdr:cNvPr id="221" name="Picture 220">
          <a:extLst>
            <a:ext uri="{FF2B5EF4-FFF2-40B4-BE49-F238E27FC236}">
              <a16:creationId xmlns:a16="http://schemas.microsoft.com/office/drawing/2014/main" id="{F6B88A4C-2215-4FE3-B135-3292AF218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517</xdr:row>
      <xdr:rowOff>0</xdr:rowOff>
    </xdr:from>
    <xdr:ext cx="571500" cy="362114"/>
    <xdr:pic>
      <xdr:nvPicPr>
        <xdr:cNvPr id="222" name="Picture 221">
          <a:extLst>
            <a:ext uri="{FF2B5EF4-FFF2-40B4-BE49-F238E27FC236}">
              <a16:creationId xmlns:a16="http://schemas.microsoft.com/office/drawing/2014/main" id="{0A55725C-B926-4A98-B3E2-05B59EC7F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517</xdr:row>
      <xdr:rowOff>0</xdr:rowOff>
    </xdr:from>
    <xdr:ext cx="571500" cy="362114"/>
    <xdr:pic>
      <xdr:nvPicPr>
        <xdr:cNvPr id="223" name="Picture 222">
          <a:extLst>
            <a:ext uri="{FF2B5EF4-FFF2-40B4-BE49-F238E27FC236}">
              <a16:creationId xmlns:a16="http://schemas.microsoft.com/office/drawing/2014/main" id="{CCB7679E-40AC-4345-A34B-681DC4F40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520</xdr:row>
      <xdr:rowOff>95249</xdr:rowOff>
    </xdr:from>
    <xdr:ext cx="2533650" cy="773257"/>
    <xdr:pic>
      <xdr:nvPicPr>
        <xdr:cNvPr id="224" name="Picture 223">
          <a:extLst>
            <a:ext uri="{FF2B5EF4-FFF2-40B4-BE49-F238E27FC236}">
              <a16:creationId xmlns:a16="http://schemas.microsoft.com/office/drawing/2014/main" id="{198C04FC-5B95-4ECF-B7C5-1674D658C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524</xdr:row>
      <xdr:rowOff>0</xdr:rowOff>
    </xdr:from>
    <xdr:ext cx="571500" cy="362114"/>
    <xdr:pic>
      <xdr:nvPicPr>
        <xdr:cNvPr id="225" name="Picture 224">
          <a:extLst>
            <a:ext uri="{FF2B5EF4-FFF2-40B4-BE49-F238E27FC236}">
              <a16:creationId xmlns:a16="http://schemas.microsoft.com/office/drawing/2014/main" id="{BEE35BC2-A11C-4788-9F0F-2F8C1A097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524</xdr:row>
      <xdr:rowOff>0</xdr:rowOff>
    </xdr:from>
    <xdr:ext cx="571500" cy="362114"/>
    <xdr:pic>
      <xdr:nvPicPr>
        <xdr:cNvPr id="226" name="Picture 225">
          <a:extLst>
            <a:ext uri="{FF2B5EF4-FFF2-40B4-BE49-F238E27FC236}">
              <a16:creationId xmlns:a16="http://schemas.microsoft.com/office/drawing/2014/main" id="{80FA95E0-A35F-4AC8-9D10-C10506447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527</xdr:row>
      <xdr:rowOff>95249</xdr:rowOff>
    </xdr:from>
    <xdr:ext cx="2533650" cy="773257"/>
    <xdr:pic>
      <xdr:nvPicPr>
        <xdr:cNvPr id="227" name="Picture 226">
          <a:extLst>
            <a:ext uri="{FF2B5EF4-FFF2-40B4-BE49-F238E27FC236}">
              <a16:creationId xmlns:a16="http://schemas.microsoft.com/office/drawing/2014/main" id="{50515B75-C9A8-46D9-BCD8-E8F8AB07E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531</xdr:row>
      <xdr:rowOff>0</xdr:rowOff>
    </xdr:from>
    <xdr:ext cx="571500" cy="362114"/>
    <xdr:pic>
      <xdr:nvPicPr>
        <xdr:cNvPr id="228" name="Picture 227">
          <a:extLst>
            <a:ext uri="{FF2B5EF4-FFF2-40B4-BE49-F238E27FC236}">
              <a16:creationId xmlns:a16="http://schemas.microsoft.com/office/drawing/2014/main" id="{8057EE67-368B-4C69-9153-4AAE3134F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531</xdr:row>
      <xdr:rowOff>0</xdr:rowOff>
    </xdr:from>
    <xdr:ext cx="571500" cy="362114"/>
    <xdr:pic>
      <xdr:nvPicPr>
        <xdr:cNvPr id="229" name="Picture 228">
          <a:extLst>
            <a:ext uri="{FF2B5EF4-FFF2-40B4-BE49-F238E27FC236}">
              <a16:creationId xmlns:a16="http://schemas.microsoft.com/office/drawing/2014/main" id="{21EAA799-4A18-46FC-A7B2-952D98044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534</xdr:row>
      <xdr:rowOff>95249</xdr:rowOff>
    </xdr:from>
    <xdr:ext cx="2533650" cy="773257"/>
    <xdr:pic>
      <xdr:nvPicPr>
        <xdr:cNvPr id="230" name="Picture 229">
          <a:extLst>
            <a:ext uri="{FF2B5EF4-FFF2-40B4-BE49-F238E27FC236}">
              <a16:creationId xmlns:a16="http://schemas.microsoft.com/office/drawing/2014/main" id="{88C4C090-2152-42AE-B999-271EEE36D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538</xdr:row>
      <xdr:rowOff>0</xdr:rowOff>
    </xdr:from>
    <xdr:ext cx="571500" cy="362114"/>
    <xdr:pic>
      <xdr:nvPicPr>
        <xdr:cNvPr id="231" name="Picture 230">
          <a:extLst>
            <a:ext uri="{FF2B5EF4-FFF2-40B4-BE49-F238E27FC236}">
              <a16:creationId xmlns:a16="http://schemas.microsoft.com/office/drawing/2014/main" id="{1F4AC25F-0BB5-4B96-85EB-018A2D12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538</xdr:row>
      <xdr:rowOff>0</xdr:rowOff>
    </xdr:from>
    <xdr:ext cx="571500" cy="362114"/>
    <xdr:pic>
      <xdr:nvPicPr>
        <xdr:cNvPr id="232" name="Picture 231">
          <a:extLst>
            <a:ext uri="{FF2B5EF4-FFF2-40B4-BE49-F238E27FC236}">
              <a16:creationId xmlns:a16="http://schemas.microsoft.com/office/drawing/2014/main" id="{39E34D4F-F590-4AC5-BE72-B9D0D6BAD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541</xdr:row>
      <xdr:rowOff>95249</xdr:rowOff>
    </xdr:from>
    <xdr:ext cx="2533650" cy="773257"/>
    <xdr:pic>
      <xdr:nvPicPr>
        <xdr:cNvPr id="233" name="Picture 232">
          <a:extLst>
            <a:ext uri="{FF2B5EF4-FFF2-40B4-BE49-F238E27FC236}">
              <a16:creationId xmlns:a16="http://schemas.microsoft.com/office/drawing/2014/main" id="{DAD946C5-1BAE-47B2-BDC6-B0A6F4805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545</xdr:row>
      <xdr:rowOff>0</xdr:rowOff>
    </xdr:from>
    <xdr:ext cx="571500" cy="362114"/>
    <xdr:pic>
      <xdr:nvPicPr>
        <xdr:cNvPr id="234" name="Picture 233">
          <a:extLst>
            <a:ext uri="{FF2B5EF4-FFF2-40B4-BE49-F238E27FC236}">
              <a16:creationId xmlns:a16="http://schemas.microsoft.com/office/drawing/2014/main" id="{8016556C-4DE3-49B0-92A6-25878CEA2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545</xdr:row>
      <xdr:rowOff>0</xdr:rowOff>
    </xdr:from>
    <xdr:ext cx="571500" cy="362114"/>
    <xdr:pic>
      <xdr:nvPicPr>
        <xdr:cNvPr id="235" name="Picture 234">
          <a:extLst>
            <a:ext uri="{FF2B5EF4-FFF2-40B4-BE49-F238E27FC236}">
              <a16:creationId xmlns:a16="http://schemas.microsoft.com/office/drawing/2014/main" id="{0BACFCCA-11E8-4769-A060-8DECD84A6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548</xdr:row>
      <xdr:rowOff>95249</xdr:rowOff>
    </xdr:from>
    <xdr:ext cx="2533650" cy="773257"/>
    <xdr:pic>
      <xdr:nvPicPr>
        <xdr:cNvPr id="236" name="Picture 235">
          <a:extLst>
            <a:ext uri="{FF2B5EF4-FFF2-40B4-BE49-F238E27FC236}">
              <a16:creationId xmlns:a16="http://schemas.microsoft.com/office/drawing/2014/main" id="{6344A9A3-E921-4654-B4F8-AC5388FD8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552</xdr:row>
      <xdr:rowOff>0</xdr:rowOff>
    </xdr:from>
    <xdr:ext cx="571500" cy="362114"/>
    <xdr:pic>
      <xdr:nvPicPr>
        <xdr:cNvPr id="237" name="Picture 236">
          <a:extLst>
            <a:ext uri="{FF2B5EF4-FFF2-40B4-BE49-F238E27FC236}">
              <a16:creationId xmlns:a16="http://schemas.microsoft.com/office/drawing/2014/main" id="{B291B9B8-D4E4-40FE-8715-F632BAC2D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552</xdr:row>
      <xdr:rowOff>0</xdr:rowOff>
    </xdr:from>
    <xdr:ext cx="571500" cy="362114"/>
    <xdr:pic>
      <xdr:nvPicPr>
        <xdr:cNvPr id="238" name="Picture 237">
          <a:extLst>
            <a:ext uri="{FF2B5EF4-FFF2-40B4-BE49-F238E27FC236}">
              <a16:creationId xmlns:a16="http://schemas.microsoft.com/office/drawing/2014/main" id="{0A47FFF1-2423-4BD6-982E-EEF4981DA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555</xdr:row>
      <xdr:rowOff>95249</xdr:rowOff>
    </xdr:from>
    <xdr:ext cx="2533650" cy="773257"/>
    <xdr:pic>
      <xdr:nvPicPr>
        <xdr:cNvPr id="239" name="Picture 238">
          <a:extLst>
            <a:ext uri="{FF2B5EF4-FFF2-40B4-BE49-F238E27FC236}">
              <a16:creationId xmlns:a16="http://schemas.microsoft.com/office/drawing/2014/main" id="{DA07E099-01BA-4DF0-802B-5D41904B3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559</xdr:row>
      <xdr:rowOff>0</xdr:rowOff>
    </xdr:from>
    <xdr:ext cx="571500" cy="362114"/>
    <xdr:pic>
      <xdr:nvPicPr>
        <xdr:cNvPr id="240" name="Picture 239">
          <a:extLst>
            <a:ext uri="{FF2B5EF4-FFF2-40B4-BE49-F238E27FC236}">
              <a16:creationId xmlns:a16="http://schemas.microsoft.com/office/drawing/2014/main" id="{80FDDD5F-C099-4466-95DC-4F2C8108E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559</xdr:row>
      <xdr:rowOff>0</xdr:rowOff>
    </xdr:from>
    <xdr:ext cx="571500" cy="362114"/>
    <xdr:pic>
      <xdr:nvPicPr>
        <xdr:cNvPr id="241" name="Picture 240">
          <a:extLst>
            <a:ext uri="{FF2B5EF4-FFF2-40B4-BE49-F238E27FC236}">
              <a16:creationId xmlns:a16="http://schemas.microsoft.com/office/drawing/2014/main" id="{31960CD5-1686-42EE-948D-80C5EE8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6820A-058A-4284-A631-B216BD112DA9}">
  <sheetPr codeName="Sheet4"/>
  <dimension ref="B3:H561"/>
  <sheetViews>
    <sheetView tabSelected="1" topLeftCell="A316" zoomScaleNormal="100" workbookViewId="0">
      <selection activeCell="K328" sqref="K328"/>
    </sheetView>
  </sheetViews>
  <sheetFormatPr defaultRowHeight="15" x14ac:dyDescent="0.25"/>
  <cols>
    <col min="1" max="1" width="9.140625" style="7"/>
    <col min="2" max="2" width="1.42578125" style="6" customWidth="1"/>
    <col min="3" max="4" width="8.5703125" style="7" customWidth="1"/>
    <col min="5" max="5" width="3.7109375" style="7" customWidth="1"/>
    <col min="6" max="7" width="8.5703125" style="7" customWidth="1"/>
    <col min="8" max="8" width="1.42578125" style="7" customWidth="1"/>
    <col min="9" max="16384" width="9.140625" style="7"/>
  </cols>
  <sheetData>
    <row r="3" spans="2:8" ht="7.5" customHeight="1" x14ac:dyDescent="0.25">
      <c r="B3" s="3"/>
      <c r="C3" s="4"/>
      <c r="D3" s="4"/>
      <c r="E3" s="4"/>
      <c r="F3" s="4"/>
      <c r="G3" s="4"/>
      <c r="H3" s="5"/>
    </row>
    <row r="4" spans="2:8" ht="30.75" customHeight="1" x14ac:dyDescent="0.25">
      <c r="B4" s="8"/>
      <c r="C4" s="6"/>
      <c r="D4" s="6"/>
      <c r="E4" s="6"/>
      <c r="F4" s="6"/>
      <c r="G4" s="6"/>
      <c r="H4" s="9"/>
    </row>
    <row r="5" spans="2:8" ht="30.75" customHeight="1" x14ac:dyDescent="0.25">
      <c r="B5" s="8"/>
      <c r="C5" s="6"/>
      <c r="D5" s="6"/>
      <c r="E5" s="6"/>
      <c r="F5" s="6"/>
      <c r="G5" s="6"/>
      <c r="H5" s="9"/>
    </row>
    <row r="6" spans="2:8" s="16" customFormat="1" ht="23.25" customHeight="1" x14ac:dyDescent="0.25">
      <c r="B6" s="14"/>
      <c r="C6" s="21" t="str">
        <f>Sheet3!I6</f>
        <v>Zagrab</v>
      </c>
      <c r="D6" s="22"/>
      <c r="E6" s="22" t="s">
        <v>0</v>
      </c>
      <c r="F6" s="22" t="str">
        <f>Sheet3!L6</f>
        <v>Munchen</v>
      </c>
      <c r="G6" s="23"/>
      <c r="H6" s="15"/>
    </row>
    <row r="7" spans="2:8" ht="23.25" x14ac:dyDescent="0.35">
      <c r="B7" s="8"/>
      <c r="C7" s="6"/>
      <c r="D7" s="6"/>
      <c r="E7" s="10" t="str">
        <f>"** "&amp;Sheet3!M6&amp;" ** "</f>
        <v xml:space="preserve">**  4 ** </v>
      </c>
      <c r="F7" s="6"/>
      <c r="G7" s="6"/>
      <c r="H7" s="9"/>
    </row>
    <row r="8" spans="2:8" ht="7.5" customHeight="1" x14ac:dyDescent="0.25">
      <c r="B8" s="11"/>
      <c r="C8" s="12"/>
      <c r="D8" s="12"/>
      <c r="E8" s="12"/>
      <c r="F8" s="12"/>
      <c r="G8" s="12"/>
      <c r="H8" s="13"/>
    </row>
    <row r="10" spans="2:8" ht="7.5" customHeight="1" x14ac:dyDescent="0.25">
      <c r="B10" s="3"/>
      <c r="C10" s="4"/>
      <c r="D10" s="4"/>
      <c r="E10" s="4"/>
      <c r="F10" s="4"/>
      <c r="G10" s="4"/>
      <c r="H10" s="5"/>
    </row>
    <row r="11" spans="2:8" ht="30.75" customHeight="1" x14ac:dyDescent="0.25">
      <c r="B11" s="8"/>
      <c r="C11" s="6"/>
      <c r="D11" s="6"/>
      <c r="E11" s="6"/>
      <c r="F11" s="6"/>
      <c r="G11" s="6"/>
      <c r="H11" s="9"/>
    </row>
    <row r="12" spans="2:8" ht="30.75" customHeight="1" x14ac:dyDescent="0.25">
      <c r="B12" s="8"/>
      <c r="C12" s="6"/>
      <c r="D12" s="6"/>
      <c r="E12" s="6"/>
      <c r="F12" s="6"/>
      <c r="G12" s="6"/>
      <c r="H12" s="9"/>
    </row>
    <row r="13" spans="2:8" s="16" customFormat="1" ht="23.25" customHeight="1" x14ac:dyDescent="0.25">
      <c r="B13" s="14"/>
      <c r="C13" s="21" t="str">
        <f>Sheet3!I13</f>
        <v>Bruxelles</v>
      </c>
      <c r="D13" s="22"/>
      <c r="E13" s="22" t="s">
        <v>0</v>
      </c>
      <c r="F13" s="22" t="str">
        <f>Sheet3!L13</f>
        <v>Essen</v>
      </c>
      <c r="G13" s="23"/>
      <c r="H13" s="15"/>
    </row>
    <row r="14" spans="2:8" ht="23.25" x14ac:dyDescent="0.35">
      <c r="B14" s="8"/>
      <c r="C14" s="6"/>
      <c r="D14" s="6"/>
      <c r="E14" s="10" t="str">
        <f>"** "&amp;Sheet3!M13&amp;" ** "</f>
        <v xml:space="preserve">**  4 ** </v>
      </c>
      <c r="F14" s="6"/>
      <c r="G14" s="6"/>
      <c r="H14" s="9"/>
    </row>
    <row r="15" spans="2:8" ht="7.5" customHeight="1" x14ac:dyDescent="0.25">
      <c r="B15" s="11"/>
      <c r="C15" s="12"/>
      <c r="D15" s="12"/>
      <c r="E15" s="12"/>
      <c r="F15" s="12"/>
      <c r="G15" s="12"/>
      <c r="H15" s="13"/>
    </row>
    <row r="17" spans="2:8" ht="7.5" customHeight="1" x14ac:dyDescent="0.25">
      <c r="B17" s="3"/>
      <c r="C17" s="4"/>
      <c r="D17" s="4"/>
      <c r="E17" s="4"/>
      <c r="F17" s="4"/>
      <c r="G17" s="4"/>
      <c r="H17" s="5"/>
    </row>
    <row r="18" spans="2:8" ht="30.75" customHeight="1" x14ac:dyDescent="0.25">
      <c r="B18" s="8"/>
      <c r="C18" s="6"/>
      <c r="D18" s="6"/>
      <c r="E18" s="6"/>
      <c r="F18" s="6"/>
      <c r="G18" s="6"/>
      <c r="H18" s="9"/>
    </row>
    <row r="19" spans="2:8" ht="30.75" customHeight="1" x14ac:dyDescent="0.25">
      <c r="B19" s="8"/>
      <c r="C19" s="6"/>
      <c r="D19" s="6"/>
      <c r="E19" s="6"/>
      <c r="F19" s="6"/>
      <c r="G19" s="6"/>
      <c r="H19" s="9"/>
    </row>
    <row r="20" spans="2:8" s="16" customFormat="1" ht="23.25" customHeight="1" x14ac:dyDescent="0.25">
      <c r="B20" s="14"/>
      <c r="C20" s="21" t="str">
        <f>Sheet3!I20</f>
        <v>Budapest</v>
      </c>
      <c r="D20" s="22"/>
      <c r="E20" s="22" t="s">
        <v>0</v>
      </c>
      <c r="F20" s="22" t="str">
        <f>Sheet3!L20</f>
        <v>Sofia</v>
      </c>
      <c r="G20" s="23"/>
      <c r="H20" s="15"/>
    </row>
    <row r="21" spans="2:8" ht="23.25" x14ac:dyDescent="0.35">
      <c r="B21" s="8"/>
      <c r="C21" s="6"/>
      <c r="D21" s="6"/>
      <c r="E21" s="10" t="str">
        <f>"** "&amp;Sheet3!M20&amp;" ** "</f>
        <v xml:space="preserve">**  5 ** </v>
      </c>
      <c r="F21" s="6"/>
      <c r="G21" s="6"/>
      <c r="H21" s="9"/>
    </row>
    <row r="22" spans="2:8" ht="7.5" customHeight="1" x14ac:dyDescent="0.25">
      <c r="B22" s="11"/>
      <c r="C22" s="12"/>
      <c r="D22" s="12"/>
      <c r="E22" s="12"/>
      <c r="F22" s="12"/>
      <c r="G22" s="12"/>
      <c r="H22" s="13"/>
    </row>
    <row r="24" spans="2:8" ht="7.5" customHeight="1" x14ac:dyDescent="0.25">
      <c r="B24" s="3"/>
      <c r="C24" s="4"/>
      <c r="D24" s="4"/>
      <c r="E24" s="4"/>
      <c r="F24" s="4"/>
      <c r="G24" s="4"/>
      <c r="H24" s="5"/>
    </row>
    <row r="25" spans="2:8" ht="30.75" customHeight="1" x14ac:dyDescent="0.25">
      <c r="B25" s="8"/>
      <c r="C25" s="6"/>
      <c r="D25" s="6"/>
      <c r="E25" s="6"/>
      <c r="F25" s="6"/>
      <c r="G25" s="6"/>
      <c r="H25" s="9"/>
    </row>
    <row r="26" spans="2:8" ht="30.75" customHeight="1" x14ac:dyDescent="0.25">
      <c r="B26" s="8"/>
      <c r="C26" s="6"/>
      <c r="D26" s="6"/>
      <c r="E26" s="6"/>
      <c r="F26" s="6"/>
      <c r="G26" s="6"/>
      <c r="H26" s="9"/>
    </row>
    <row r="27" spans="2:8" s="16" customFormat="1" ht="23.25" customHeight="1" x14ac:dyDescent="0.25">
      <c r="B27" s="14"/>
      <c r="C27" s="21" t="str">
        <f>Sheet3!I27</f>
        <v>Wilno</v>
      </c>
      <c r="D27" s="22"/>
      <c r="E27" s="22" t="s">
        <v>0</v>
      </c>
      <c r="F27" s="22" t="str">
        <f>Sheet3!L27</f>
        <v>Moskva</v>
      </c>
      <c r="G27" s="23"/>
      <c r="H27" s="15"/>
    </row>
    <row r="28" spans="2:8" ht="23.25" x14ac:dyDescent="0.35">
      <c r="B28" s="8"/>
      <c r="C28" s="6"/>
      <c r="D28" s="6"/>
      <c r="E28" s="10" t="str">
        <f>"** "&amp;Sheet3!M27&amp;" ** "</f>
        <v xml:space="preserve">**  5 ** </v>
      </c>
      <c r="F28" s="6"/>
      <c r="G28" s="6"/>
      <c r="H28" s="9"/>
    </row>
    <row r="29" spans="2:8" ht="7.5" customHeight="1" x14ac:dyDescent="0.25">
      <c r="B29" s="11"/>
      <c r="C29" s="12"/>
      <c r="D29" s="12"/>
      <c r="E29" s="12"/>
      <c r="F29" s="12"/>
      <c r="G29" s="12"/>
      <c r="H29" s="13"/>
    </row>
    <row r="31" spans="2:8" ht="7.5" customHeight="1" x14ac:dyDescent="0.25">
      <c r="B31" s="3"/>
      <c r="C31" s="4"/>
      <c r="D31" s="4"/>
      <c r="E31" s="4"/>
      <c r="F31" s="4"/>
      <c r="G31" s="4"/>
      <c r="H31" s="5"/>
    </row>
    <row r="32" spans="2:8" ht="30.75" customHeight="1" x14ac:dyDescent="0.25">
      <c r="B32" s="8"/>
      <c r="C32" s="6"/>
      <c r="D32" s="6"/>
      <c r="E32" s="6"/>
      <c r="F32" s="6"/>
      <c r="G32" s="6"/>
      <c r="H32" s="9"/>
    </row>
    <row r="33" spans="2:8" ht="30.75" customHeight="1" x14ac:dyDescent="0.25">
      <c r="B33" s="8"/>
      <c r="C33" s="6"/>
      <c r="D33" s="6"/>
      <c r="E33" s="6"/>
      <c r="F33" s="6"/>
      <c r="G33" s="6"/>
      <c r="H33" s="9"/>
    </row>
    <row r="34" spans="2:8" s="16" customFormat="1" ht="23.25" customHeight="1" x14ac:dyDescent="0.25">
      <c r="B34" s="14"/>
      <c r="C34" s="21" t="str">
        <f>Sheet3!I34</f>
        <v>Moskva</v>
      </c>
      <c r="D34" s="22"/>
      <c r="E34" s="22" t="s">
        <v>0</v>
      </c>
      <c r="F34" s="22" t="str">
        <f>Sheet3!L34</f>
        <v>Kyiv</v>
      </c>
      <c r="G34" s="23"/>
      <c r="H34" s="15"/>
    </row>
    <row r="35" spans="2:8" ht="23.25" x14ac:dyDescent="0.35">
      <c r="B35" s="8"/>
      <c r="C35" s="6"/>
      <c r="D35" s="6"/>
      <c r="E35" s="10" t="str">
        <f>"** "&amp;Sheet3!M34&amp;" ** "</f>
        <v xml:space="preserve">**  5 ** </v>
      </c>
      <c r="F35" s="6"/>
      <c r="G35" s="6"/>
      <c r="H35" s="9"/>
    </row>
    <row r="36" spans="2:8" ht="7.5" customHeight="1" x14ac:dyDescent="0.25">
      <c r="B36" s="11"/>
      <c r="C36" s="12"/>
      <c r="D36" s="12"/>
      <c r="E36" s="12"/>
      <c r="F36" s="12"/>
      <c r="G36" s="12"/>
      <c r="H36" s="13"/>
    </row>
    <row r="38" spans="2:8" ht="7.5" customHeight="1" x14ac:dyDescent="0.25">
      <c r="B38" s="3"/>
      <c r="C38" s="4"/>
      <c r="D38" s="4"/>
      <c r="E38" s="4"/>
      <c r="F38" s="4"/>
      <c r="G38" s="4"/>
      <c r="H38" s="5"/>
    </row>
    <row r="39" spans="2:8" ht="30.75" customHeight="1" x14ac:dyDescent="0.25">
      <c r="B39" s="8"/>
      <c r="C39" s="6"/>
      <c r="D39" s="6"/>
      <c r="E39" s="6"/>
      <c r="F39" s="6"/>
      <c r="G39" s="6"/>
      <c r="H39" s="9"/>
    </row>
    <row r="40" spans="2:8" ht="30.75" customHeight="1" x14ac:dyDescent="0.25">
      <c r="B40" s="8"/>
      <c r="C40" s="6"/>
      <c r="D40" s="6"/>
      <c r="E40" s="6"/>
      <c r="F40" s="6"/>
      <c r="G40" s="6"/>
      <c r="H40" s="9"/>
    </row>
    <row r="41" spans="2:8" s="16" customFormat="1" ht="23.25" customHeight="1" x14ac:dyDescent="0.25">
      <c r="B41" s="14"/>
      <c r="C41" s="21" t="str">
        <f>Sheet3!I41</f>
        <v>Angora</v>
      </c>
      <c r="D41" s="22"/>
      <c r="E41" s="22" t="s">
        <v>0</v>
      </c>
      <c r="F41" s="22" t="str">
        <f>Sheet3!L41</f>
        <v>Bucuresti</v>
      </c>
      <c r="G41" s="23"/>
      <c r="H41" s="15"/>
    </row>
    <row r="42" spans="2:8" ht="23.25" x14ac:dyDescent="0.35">
      <c r="B42" s="8"/>
      <c r="C42" s="6"/>
      <c r="D42" s="6"/>
      <c r="E42" s="10" t="str">
        <f>"** "&amp;Sheet3!M41&amp;" ** "</f>
        <v xml:space="preserve">**  5 ** </v>
      </c>
      <c r="F42" s="6"/>
      <c r="G42" s="6"/>
      <c r="H42" s="9"/>
    </row>
    <row r="43" spans="2:8" ht="7.5" customHeight="1" x14ac:dyDescent="0.25">
      <c r="B43" s="11"/>
      <c r="C43" s="12"/>
      <c r="D43" s="12"/>
      <c r="E43" s="12"/>
      <c r="F43" s="12"/>
      <c r="G43" s="12"/>
      <c r="H43" s="13"/>
    </row>
    <row r="45" spans="2:8" ht="7.5" customHeight="1" x14ac:dyDescent="0.25">
      <c r="B45" s="3"/>
      <c r="C45" s="4"/>
      <c r="D45" s="4"/>
      <c r="E45" s="4"/>
      <c r="F45" s="4"/>
      <c r="G45" s="4"/>
      <c r="H45" s="5"/>
    </row>
    <row r="46" spans="2:8" ht="30.75" customHeight="1" x14ac:dyDescent="0.25">
      <c r="B46" s="8"/>
      <c r="C46" s="6"/>
      <c r="D46" s="6"/>
      <c r="E46" s="6"/>
      <c r="F46" s="6"/>
      <c r="G46" s="6"/>
      <c r="H46" s="9"/>
    </row>
    <row r="47" spans="2:8" ht="30.75" customHeight="1" x14ac:dyDescent="0.25">
      <c r="B47" s="8"/>
      <c r="C47" s="6"/>
      <c r="D47" s="6"/>
      <c r="E47" s="6"/>
      <c r="F47" s="6"/>
      <c r="G47" s="6"/>
      <c r="H47" s="9"/>
    </row>
    <row r="48" spans="2:8" s="16" customFormat="1" ht="23.25" customHeight="1" x14ac:dyDescent="0.25">
      <c r="B48" s="14"/>
      <c r="C48" s="21" t="str">
        <f>Sheet3!I48</f>
        <v>Paris</v>
      </c>
      <c r="D48" s="22"/>
      <c r="E48" s="22" t="s">
        <v>0</v>
      </c>
      <c r="F48" s="22" t="str">
        <f>Sheet3!L48</f>
        <v>Venezia</v>
      </c>
      <c r="G48" s="23"/>
      <c r="H48" s="15"/>
    </row>
    <row r="49" spans="2:8" ht="23.25" x14ac:dyDescent="0.35">
      <c r="B49" s="8"/>
      <c r="C49" s="6"/>
      <c r="D49" s="6"/>
      <c r="E49" s="10" t="str">
        <f>"** "&amp;Sheet3!M48&amp;" ** "</f>
        <v xml:space="preserve">**  5 ** </v>
      </c>
      <c r="F49" s="6"/>
      <c r="G49" s="6"/>
      <c r="H49" s="9"/>
    </row>
    <row r="50" spans="2:8" ht="7.5" customHeight="1" x14ac:dyDescent="0.25">
      <c r="B50" s="11"/>
      <c r="C50" s="12"/>
      <c r="D50" s="12"/>
      <c r="E50" s="12"/>
      <c r="F50" s="12"/>
      <c r="G50" s="12"/>
      <c r="H50" s="13"/>
    </row>
    <row r="52" spans="2:8" ht="7.5" customHeight="1" x14ac:dyDescent="0.25">
      <c r="B52" s="3"/>
      <c r="C52" s="4"/>
      <c r="D52" s="4"/>
      <c r="E52" s="4"/>
      <c r="F52" s="4"/>
      <c r="G52" s="4"/>
      <c r="H52" s="5"/>
    </row>
    <row r="53" spans="2:8" ht="30.75" customHeight="1" x14ac:dyDescent="0.25">
      <c r="B53" s="8"/>
      <c r="C53" s="6"/>
      <c r="D53" s="6"/>
      <c r="E53" s="6"/>
      <c r="F53" s="6"/>
      <c r="G53" s="6"/>
      <c r="H53" s="9"/>
    </row>
    <row r="54" spans="2:8" ht="30.75" customHeight="1" x14ac:dyDescent="0.25">
      <c r="B54" s="8"/>
      <c r="C54" s="6"/>
      <c r="D54" s="6"/>
      <c r="E54" s="6"/>
      <c r="F54" s="6"/>
      <c r="G54" s="6"/>
      <c r="H54" s="9"/>
    </row>
    <row r="55" spans="2:8" s="16" customFormat="1" ht="23.25" customHeight="1" x14ac:dyDescent="0.25">
      <c r="B55" s="14"/>
      <c r="C55" s="21" t="str">
        <f>Sheet3!I55</f>
        <v>Warszawa</v>
      </c>
      <c r="D55" s="22"/>
      <c r="E55" s="22" t="s">
        <v>0</v>
      </c>
      <c r="F55" s="22" t="str">
        <f>Sheet3!L55</f>
        <v>Rica</v>
      </c>
      <c r="G55" s="23"/>
      <c r="H55" s="15"/>
    </row>
    <row r="56" spans="2:8" ht="23.25" x14ac:dyDescent="0.35">
      <c r="B56" s="8"/>
      <c r="C56" s="6"/>
      <c r="D56" s="6"/>
      <c r="E56" s="10" t="str">
        <f>"** "&amp;Sheet3!M55&amp;" ** "</f>
        <v xml:space="preserve">**  5 ** </v>
      </c>
      <c r="F56" s="6"/>
      <c r="G56" s="6"/>
      <c r="H56" s="9"/>
    </row>
    <row r="57" spans="2:8" ht="7.5" customHeight="1" x14ac:dyDescent="0.25">
      <c r="B57" s="11"/>
      <c r="C57" s="12"/>
      <c r="D57" s="12"/>
      <c r="E57" s="12"/>
      <c r="F57" s="12"/>
      <c r="G57" s="12"/>
      <c r="H57" s="13"/>
    </row>
    <row r="59" spans="2:8" ht="7.5" customHeight="1" x14ac:dyDescent="0.25">
      <c r="B59" s="3"/>
      <c r="C59" s="4"/>
      <c r="D59" s="4"/>
      <c r="E59" s="4"/>
      <c r="F59" s="4"/>
      <c r="G59" s="4"/>
      <c r="H59" s="5"/>
    </row>
    <row r="60" spans="2:8" ht="30.75" customHeight="1" x14ac:dyDescent="0.25">
      <c r="B60" s="8"/>
      <c r="C60" s="6"/>
      <c r="D60" s="6"/>
      <c r="E60" s="6"/>
      <c r="F60" s="6"/>
      <c r="G60" s="6"/>
      <c r="H60" s="9"/>
    </row>
    <row r="61" spans="2:8" ht="30.75" customHeight="1" x14ac:dyDescent="0.25">
      <c r="B61" s="8"/>
      <c r="C61" s="6"/>
      <c r="D61" s="6"/>
      <c r="E61" s="6"/>
      <c r="F61" s="6"/>
      <c r="G61" s="6"/>
      <c r="H61" s="9"/>
    </row>
    <row r="62" spans="2:8" s="16" customFormat="1" ht="23.25" customHeight="1" x14ac:dyDescent="0.25">
      <c r="B62" s="14"/>
      <c r="C62" s="21" t="str">
        <f>Sheet3!I62</f>
        <v>Frankfurt</v>
      </c>
      <c r="D62" s="22"/>
      <c r="E62" s="22" t="s">
        <v>0</v>
      </c>
      <c r="F62" s="22" t="str">
        <f>Sheet3!L62</f>
        <v>Roma</v>
      </c>
      <c r="G62" s="23"/>
      <c r="H62" s="15"/>
    </row>
    <row r="63" spans="2:8" ht="23.25" x14ac:dyDescent="0.35">
      <c r="B63" s="8"/>
      <c r="C63" s="6"/>
      <c r="D63" s="6"/>
      <c r="E63" s="10" t="str">
        <f>"** "&amp;Sheet3!M62&amp;" ** "</f>
        <v xml:space="preserve">**  6 ** </v>
      </c>
      <c r="F63" s="6"/>
      <c r="G63" s="6"/>
      <c r="H63" s="9"/>
    </row>
    <row r="64" spans="2:8" ht="7.5" customHeight="1" x14ac:dyDescent="0.25">
      <c r="B64" s="11"/>
      <c r="C64" s="12"/>
      <c r="D64" s="12"/>
      <c r="E64" s="12"/>
      <c r="F64" s="12"/>
      <c r="G64" s="12"/>
      <c r="H64" s="13"/>
    </row>
    <row r="66" spans="2:8" ht="7.5" customHeight="1" x14ac:dyDescent="0.25">
      <c r="B66" s="3"/>
      <c r="C66" s="4"/>
      <c r="D66" s="4"/>
      <c r="E66" s="4"/>
      <c r="F66" s="4"/>
      <c r="G66" s="4"/>
      <c r="H66" s="5"/>
    </row>
    <row r="67" spans="2:8" ht="30.75" customHeight="1" x14ac:dyDescent="0.25">
      <c r="B67" s="8"/>
      <c r="C67" s="6"/>
      <c r="D67" s="6"/>
      <c r="E67" s="6"/>
      <c r="F67" s="6"/>
      <c r="G67" s="6"/>
      <c r="H67" s="9"/>
    </row>
    <row r="68" spans="2:8" ht="30.75" customHeight="1" x14ac:dyDescent="0.25">
      <c r="B68" s="8"/>
      <c r="C68" s="6"/>
      <c r="D68" s="6"/>
      <c r="E68" s="6"/>
      <c r="F68" s="6"/>
      <c r="G68" s="6"/>
      <c r="H68" s="9"/>
    </row>
    <row r="69" spans="2:8" s="16" customFormat="1" ht="23.25" customHeight="1" x14ac:dyDescent="0.25">
      <c r="B69" s="14"/>
      <c r="C69" s="21" t="str">
        <f>Sheet3!I69</f>
        <v>Munchen</v>
      </c>
      <c r="D69" s="22"/>
      <c r="E69" s="22" t="s">
        <v>0</v>
      </c>
      <c r="F69" s="22" t="str">
        <f>Sheet3!L69</f>
        <v>London</v>
      </c>
      <c r="G69" s="23"/>
      <c r="H69" s="15"/>
    </row>
    <row r="70" spans="2:8" ht="23.25" x14ac:dyDescent="0.35">
      <c r="B70" s="8"/>
      <c r="C70" s="6"/>
      <c r="D70" s="6"/>
      <c r="E70" s="10" t="str">
        <f>"** "&amp;Sheet3!M69&amp;" ** "</f>
        <v xml:space="preserve">**  6 ** </v>
      </c>
      <c r="F70" s="6"/>
      <c r="G70" s="6"/>
      <c r="H70" s="9"/>
    </row>
    <row r="71" spans="2:8" ht="7.5" customHeight="1" x14ac:dyDescent="0.25">
      <c r="B71" s="11"/>
      <c r="C71" s="12"/>
      <c r="D71" s="12"/>
      <c r="E71" s="12"/>
      <c r="F71" s="12"/>
      <c r="G71" s="12"/>
      <c r="H71" s="13"/>
    </row>
    <row r="73" spans="2:8" ht="7.5" customHeight="1" x14ac:dyDescent="0.25">
      <c r="B73" s="3"/>
      <c r="C73" s="4"/>
      <c r="D73" s="4"/>
      <c r="E73" s="4"/>
      <c r="F73" s="4"/>
      <c r="G73" s="4"/>
      <c r="H73" s="5"/>
    </row>
    <row r="74" spans="2:8" ht="30.75" customHeight="1" x14ac:dyDescent="0.25">
      <c r="B74" s="8"/>
      <c r="C74" s="6"/>
      <c r="D74" s="6"/>
      <c r="E74" s="6"/>
      <c r="F74" s="6"/>
      <c r="G74" s="6"/>
      <c r="H74" s="9"/>
    </row>
    <row r="75" spans="2:8" ht="30.75" customHeight="1" x14ac:dyDescent="0.25">
      <c r="B75" s="8"/>
      <c r="C75" s="6"/>
      <c r="D75" s="6"/>
      <c r="E75" s="6"/>
      <c r="F75" s="6"/>
      <c r="G75" s="6"/>
      <c r="H75" s="9"/>
    </row>
    <row r="76" spans="2:8" s="16" customFormat="1" ht="23.25" customHeight="1" x14ac:dyDescent="0.25">
      <c r="B76" s="14"/>
      <c r="C76" s="21" t="str">
        <f>Sheet3!I76</f>
        <v>Edinburgh</v>
      </c>
      <c r="D76" s="22"/>
      <c r="E76" s="22" t="s">
        <v>0</v>
      </c>
      <c r="F76" s="22" t="str">
        <f>Sheet3!L76</f>
        <v>Dieppe</v>
      </c>
      <c r="G76" s="23"/>
      <c r="H76" s="15"/>
    </row>
    <row r="77" spans="2:8" ht="23.25" x14ac:dyDescent="0.35">
      <c r="B77" s="8"/>
      <c r="C77" s="6"/>
      <c r="D77" s="6"/>
      <c r="E77" s="10" t="str">
        <f>"** "&amp;Sheet3!M76&amp;" ** "</f>
        <v xml:space="preserve">**  6 ** </v>
      </c>
      <c r="F77" s="6"/>
      <c r="G77" s="6"/>
      <c r="H77" s="9"/>
    </row>
    <row r="78" spans="2:8" ht="7.5" customHeight="1" x14ac:dyDescent="0.25">
      <c r="B78" s="11"/>
      <c r="C78" s="12"/>
      <c r="D78" s="12"/>
      <c r="E78" s="12"/>
      <c r="F78" s="12"/>
      <c r="G78" s="12"/>
      <c r="H78" s="13"/>
    </row>
    <row r="80" spans="2:8" ht="7.5" customHeight="1" x14ac:dyDescent="0.25">
      <c r="B80" s="3"/>
      <c r="C80" s="4"/>
      <c r="D80" s="4"/>
      <c r="E80" s="4"/>
      <c r="F80" s="4"/>
      <c r="G80" s="4"/>
      <c r="H80" s="5"/>
    </row>
    <row r="81" spans="2:8" ht="30.75" customHeight="1" x14ac:dyDescent="0.25">
      <c r="B81" s="8"/>
      <c r="C81" s="6"/>
      <c r="D81" s="6"/>
      <c r="E81" s="6"/>
      <c r="F81" s="6"/>
      <c r="G81" s="6"/>
      <c r="H81" s="9"/>
    </row>
    <row r="82" spans="2:8" ht="30.75" customHeight="1" x14ac:dyDescent="0.25">
      <c r="B82" s="8"/>
      <c r="C82" s="6"/>
      <c r="D82" s="6"/>
      <c r="E82" s="6"/>
      <c r="F82" s="6"/>
      <c r="G82" s="6"/>
      <c r="H82" s="9"/>
    </row>
    <row r="83" spans="2:8" s="16" customFormat="1" ht="23.25" customHeight="1" x14ac:dyDescent="0.25">
      <c r="B83" s="14"/>
      <c r="C83" s="21" t="str">
        <f>Sheet3!I83</f>
        <v>Rica</v>
      </c>
      <c r="D83" s="22"/>
      <c r="E83" s="22" t="s">
        <v>0</v>
      </c>
      <c r="F83" s="22" t="str">
        <f>Sheet3!L83</f>
        <v>Kyiv</v>
      </c>
      <c r="G83" s="23"/>
      <c r="H83" s="15"/>
    </row>
    <row r="84" spans="2:8" ht="23.25" x14ac:dyDescent="0.35">
      <c r="B84" s="8"/>
      <c r="C84" s="6"/>
      <c r="D84" s="6"/>
      <c r="E84" s="10" t="str">
        <f>"** "&amp;Sheet3!M83&amp;" ** "</f>
        <v xml:space="preserve">**  6 ** </v>
      </c>
      <c r="F84" s="6"/>
      <c r="G84" s="6"/>
      <c r="H84" s="9"/>
    </row>
    <row r="85" spans="2:8" ht="7.5" customHeight="1" x14ac:dyDescent="0.25">
      <c r="B85" s="11"/>
      <c r="C85" s="12"/>
      <c r="D85" s="12"/>
      <c r="E85" s="12"/>
      <c r="F85" s="12"/>
      <c r="G85" s="12"/>
      <c r="H85" s="13"/>
    </row>
    <row r="87" spans="2:8" ht="7.5" customHeight="1" x14ac:dyDescent="0.25">
      <c r="B87" s="3"/>
      <c r="C87" s="4"/>
      <c r="D87" s="4"/>
      <c r="E87" s="4"/>
      <c r="F87" s="4"/>
      <c r="G87" s="4"/>
      <c r="H87" s="5"/>
    </row>
    <row r="88" spans="2:8" ht="30.75" customHeight="1" x14ac:dyDescent="0.25">
      <c r="B88" s="8"/>
      <c r="C88" s="6"/>
      <c r="D88" s="6"/>
      <c r="E88" s="6"/>
      <c r="F88" s="6"/>
      <c r="G88" s="6"/>
      <c r="H88" s="9"/>
    </row>
    <row r="89" spans="2:8" ht="30.75" customHeight="1" x14ac:dyDescent="0.25">
      <c r="B89" s="8"/>
      <c r="C89" s="6"/>
      <c r="D89" s="6"/>
      <c r="E89" s="6"/>
      <c r="F89" s="6"/>
      <c r="G89" s="6"/>
      <c r="H89" s="9"/>
    </row>
    <row r="90" spans="2:8" s="16" customFormat="1" ht="23.25" customHeight="1" x14ac:dyDescent="0.25">
      <c r="B90" s="14"/>
      <c r="C90" s="21" t="str">
        <f>Sheet3!I90</f>
        <v>Frankfurt</v>
      </c>
      <c r="D90" s="22"/>
      <c r="E90" s="22" t="s">
        <v>0</v>
      </c>
      <c r="F90" s="22" t="str">
        <f>Sheet3!L90</f>
        <v>Zagrab</v>
      </c>
      <c r="G90" s="23"/>
      <c r="H90" s="15"/>
    </row>
    <row r="91" spans="2:8" ht="23.25" x14ac:dyDescent="0.35">
      <c r="B91" s="8"/>
      <c r="C91" s="6"/>
      <c r="D91" s="6"/>
      <c r="E91" s="10" t="str">
        <f>"** "&amp;Sheet3!M90&amp;" ** "</f>
        <v xml:space="preserve">**  6 ** </v>
      </c>
      <c r="F91" s="6"/>
      <c r="G91" s="6"/>
      <c r="H91" s="9"/>
    </row>
    <row r="92" spans="2:8" ht="7.5" customHeight="1" x14ac:dyDescent="0.25">
      <c r="B92" s="11"/>
      <c r="C92" s="12"/>
      <c r="D92" s="12"/>
      <c r="E92" s="12"/>
      <c r="F92" s="12"/>
      <c r="G92" s="12"/>
      <c r="H92" s="13"/>
    </row>
    <row r="94" spans="2:8" ht="7.5" customHeight="1" x14ac:dyDescent="0.25">
      <c r="B94" s="3"/>
      <c r="C94" s="4"/>
      <c r="D94" s="4"/>
      <c r="E94" s="4"/>
      <c r="F94" s="4"/>
      <c r="G94" s="4"/>
      <c r="H94" s="5"/>
    </row>
    <row r="95" spans="2:8" ht="30.75" customHeight="1" x14ac:dyDescent="0.25">
      <c r="B95" s="8"/>
      <c r="C95" s="6"/>
      <c r="D95" s="6"/>
      <c r="E95" s="6"/>
      <c r="F95" s="6"/>
      <c r="G95" s="6"/>
      <c r="H95" s="9"/>
    </row>
    <row r="96" spans="2:8" ht="30.75" customHeight="1" x14ac:dyDescent="0.25">
      <c r="B96" s="8"/>
      <c r="C96" s="6"/>
      <c r="D96" s="6"/>
      <c r="E96" s="6"/>
      <c r="F96" s="6"/>
      <c r="G96" s="6"/>
      <c r="H96" s="9"/>
    </row>
    <row r="97" spans="2:8" s="16" customFormat="1" ht="23.25" customHeight="1" x14ac:dyDescent="0.25">
      <c r="B97" s="14"/>
      <c r="C97" s="21" t="str">
        <f>Sheet3!I97</f>
        <v>Zurich</v>
      </c>
      <c r="D97" s="22"/>
      <c r="E97" s="22" t="s">
        <v>0</v>
      </c>
      <c r="F97" s="22" t="str">
        <f>Sheet3!L97</f>
        <v>Brindisi</v>
      </c>
      <c r="G97" s="23"/>
      <c r="H97" s="15"/>
    </row>
    <row r="98" spans="2:8" ht="23.25" x14ac:dyDescent="0.35">
      <c r="B98" s="8"/>
      <c r="C98" s="6"/>
      <c r="D98" s="6"/>
      <c r="E98" s="10" t="str">
        <f>"** "&amp;Sheet3!M97&amp;" ** "</f>
        <v xml:space="preserve">**  6 ** </v>
      </c>
      <c r="F98" s="6"/>
      <c r="G98" s="6"/>
      <c r="H98" s="9"/>
    </row>
    <row r="99" spans="2:8" ht="7.5" customHeight="1" x14ac:dyDescent="0.25">
      <c r="B99" s="11"/>
      <c r="C99" s="12"/>
      <c r="D99" s="12"/>
      <c r="E99" s="12"/>
      <c r="F99" s="12"/>
      <c r="G99" s="12"/>
      <c r="H99" s="13"/>
    </row>
    <row r="101" spans="2:8" ht="7.5" customHeight="1" x14ac:dyDescent="0.25">
      <c r="B101" s="3"/>
      <c r="C101" s="4"/>
      <c r="D101" s="4"/>
      <c r="E101" s="4"/>
      <c r="F101" s="4"/>
      <c r="G101" s="4"/>
      <c r="H101" s="5"/>
    </row>
    <row r="102" spans="2:8" ht="30.75" customHeight="1" x14ac:dyDescent="0.25">
      <c r="B102" s="8"/>
      <c r="C102" s="6"/>
      <c r="D102" s="6"/>
      <c r="E102" s="6"/>
      <c r="F102" s="6"/>
      <c r="G102" s="6"/>
      <c r="H102" s="9"/>
    </row>
    <row r="103" spans="2:8" ht="30.75" customHeight="1" x14ac:dyDescent="0.25">
      <c r="B103" s="8"/>
      <c r="C103" s="6"/>
      <c r="D103" s="6"/>
      <c r="E103" s="6"/>
      <c r="F103" s="6"/>
      <c r="G103" s="6"/>
      <c r="H103" s="9"/>
    </row>
    <row r="104" spans="2:8" s="16" customFormat="1" ht="23.25" customHeight="1" x14ac:dyDescent="0.25">
      <c r="B104" s="14"/>
      <c r="C104" s="21" t="str">
        <f>Sheet3!I104</f>
        <v>Marseille</v>
      </c>
      <c r="D104" s="22"/>
      <c r="E104" s="22" t="s">
        <v>0</v>
      </c>
      <c r="F104" s="22" t="str">
        <f>Sheet3!L104</f>
        <v>Wien</v>
      </c>
      <c r="G104" s="23"/>
      <c r="H104" s="15"/>
    </row>
    <row r="105" spans="2:8" ht="23.25" x14ac:dyDescent="0.35">
      <c r="B105" s="8"/>
      <c r="C105" s="6"/>
      <c r="D105" s="6"/>
      <c r="E105" s="10" t="str">
        <f>"** "&amp;Sheet3!M104&amp;" ** "</f>
        <v xml:space="preserve">**  7 ** </v>
      </c>
      <c r="F105" s="6"/>
      <c r="G105" s="6"/>
      <c r="H105" s="9"/>
    </row>
    <row r="106" spans="2:8" ht="7.5" customHeight="1" x14ac:dyDescent="0.25">
      <c r="B106" s="11"/>
      <c r="C106" s="12"/>
      <c r="D106" s="12"/>
      <c r="E106" s="12"/>
      <c r="F106" s="12"/>
      <c r="G106" s="12"/>
      <c r="H106" s="13"/>
    </row>
    <row r="108" spans="2:8" ht="7.5" customHeight="1" x14ac:dyDescent="0.25">
      <c r="B108" s="3"/>
      <c r="C108" s="4"/>
      <c r="D108" s="4"/>
      <c r="E108" s="4"/>
      <c r="F108" s="4"/>
      <c r="G108" s="4"/>
      <c r="H108" s="5"/>
    </row>
    <row r="109" spans="2:8" ht="30.75" customHeight="1" x14ac:dyDescent="0.25">
      <c r="B109" s="8"/>
      <c r="C109" s="6"/>
      <c r="D109" s="6"/>
      <c r="E109" s="6"/>
      <c r="F109" s="6"/>
      <c r="G109" s="6"/>
      <c r="H109" s="9"/>
    </row>
    <row r="110" spans="2:8" ht="30.75" customHeight="1" x14ac:dyDescent="0.25">
      <c r="B110" s="8"/>
      <c r="C110" s="6"/>
      <c r="D110" s="6"/>
      <c r="E110" s="6"/>
      <c r="F110" s="6"/>
      <c r="G110" s="6"/>
      <c r="H110" s="9"/>
    </row>
    <row r="111" spans="2:8" s="16" customFormat="1" ht="23.25" customHeight="1" x14ac:dyDescent="0.25">
      <c r="B111" s="14"/>
      <c r="C111" s="21" t="str">
        <f>Sheet3!I111</f>
        <v>Wien</v>
      </c>
      <c r="D111" s="22"/>
      <c r="E111" s="22" t="s">
        <v>0</v>
      </c>
      <c r="F111" s="22" t="str">
        <f>Sheet3!L111</f>
        <v>Kyiv</v>
      </c>
      <c r="G111" s="23"/>
      <c r="H111" s="15"/>
    </row>
    <row r="112" spans="2:8" ht="23.25" x14ac:dyDescent="0.35">
      <c r="B112" s="8"/>
      <c r="C112" s="6"/>
      <c r="D112" s="6"/>
      <c r="E112" s="10" t="str">
        <f>"** "&amp;Sheet3!M111&amp;" ** "</f>
        <v xml:space="preserve">**  7 ** </v>
      </c>
      <c r="F112" s="6"/>
      <c r="G112" s="6"/>
      <c r="H112" s="9"/>
    </row>
    <row r="113" spans="2:8" ht="7.5" customHeight="1" x14ac:dyDescent="0.25">
      <c r="B113" s="11"/>
      <c r="C113" s="12"/>
      <c r="D113" s="12"/>
      <c r="E113" s="12"/>
      <c r="F113" s="12"/>
      <c r="G113" s="12"/>
      <c r="H113" s="13"/>
    </row>
    <row r="115" spans="2:8" ht="7.5" customHeight="1" x14ac:dyDescent="0.25">
      <c r="B115" s="3"/>
      <c r="C115" s="4"/>
      <c r="D115" s="4"/>
      <c r="E115" s="4"/>
      <c r="F115" s="4"/>
      <c r="G115" s="4"/>
      <c r="H115" s="5"/>
    </row>
    <row r="116" spans="2:8" ht="30.75" customHeight="1" x14ac:dyDescent="0.25">
      <c r="B116" s="8"/>
      <c r="C116" s="6"/>
      <c r="D116" s="6"/>
      <c r="E116" s="6"/>
      <c r="F116" s="6"/>
      <c r="G116" s="6"/>
      <c r="H116" s="9"/>
    </row>
    <row r="117" spans="2:8" ht="30.75" customHeight="1" x14ac:dyDescent="0.25">
      <c r="B117" s="8"/>
      <c r="C117" s="6"/>
      <c r="D117" s="6"/>
      <c r="E117" s="6"/>
      <c r="F117" s="6"/>
      <c r="G117" s="6"/>
      <c r="H117" s="9"/>
    </row>
    <row r="118" spans="2:8" s="16" customFormat="1" ht="23.25" customHeight="1" x14ac:dyDescent="0.25">
      <c r="B118" s="14"/>
      <c r="C118" s="21" t="str">
        <f>Sheet3!I118</f>
        <v>Barcelona</v>
      </c>
      <c r="D118" s="22"/>
      <c r="E118" s="22" t="s">
        <v>0</v>
      </c>
      <c r="F118" s="22" t="str">
        <f>Sheet3!L118</f>
        <v>Dieppe</v>
      </c>
      <c r="G118" s="23"/>
      <c r="H118" s="15"/>
    </row>
    <row r="119" spans="2:8" ht="23.25" x14ac:dyDescent="0.35">
      <c r="B119" s="8"/>
      <c r="C119" s="6"/>
      <c r="D119" s="6"/>
      <c r="E119" s="10" t="str">
        <f>"** "&amp;Sheet3!M118&amp;" ** "</f>
        <v xml:space="preserve">**  7 ** </v>
      </c>
      <c r="F119" s="6"/>
      <c r="G119" s="6"/>
      <c r="H119" s="9"/>
    </row>
    <row r="120" spans="2:8" ht="7.5" customHeight="1" x14ac:dyDescent="0.25">
      <c r="B120" s="11"/>
      <c r="C120" s="12"/>
      <c r="D120" s="12"/>
      <c r="E120" s="12"/>
      <c r="F120" s="12"/>
      <c r="G120" s="12"/>
      <c r="H120" s="13"/>
    </row>
    <row r="122" spans="2:8" ht="7.5" customHeight="1" x14ac:dyDescent="0.25">
      <c r="B122" s="3"/>
      <c r="C122" s="4"/>
      <c r="D122" s="4"/>
      <c r="E122" s="4"/>
      <c r="F122" s="4"/>
      <c r="G122" s="4"/>
      <c r="H122" s="5"/>
    </row>
    <row r="123" spans="2:8" ht="30.75" customHeight="1" x14ac:dyDescent="0.25">
      <c r="B123" s="8"/>
      <c r="C123" s="6"/>
      <c r="D123" s="6"/>
      <c r="E123" s="6"/>
      <c r="F123" s="6"/>
      <c r="G123" s="6"/>
      <c r="H123" s="9"/>
    </row>
    <row r="124" spans="2:8" ht="30.75" customHeight="1" x14ac:dyDescent="0.25">
      <c r="B124" s="8"/>
      <c r="C124" s="6"/>
      <c r="D124" s="6"/>
      <c r="E124" s="6"/>
      <c r="F124" s="6"/>
      <c r="G124" s="6"/>
      <c r="H124" s="9"/>
    </row>
    <row r="125" spans="2:8" s="16" customFormat="1" ht="23.25" customHeight="1" x14ac:dyDescent="0.25">
      <c r="B125" s="14"/>
      <c r="C125" s="21" t="str">
        <f>Sheet3!I125</f>
        <v>Roma</v>
      </c>
      <c r="D125" s="22"/>
      <c r="E125" s="22" t="s">
        <v>0</v>
      </c>
      <c r="F125" s="22" t="str">
        <f>Sheet3!L125</f>
        <v>Smyrna</v>
      </c>
      <c r="G125" s="23"/>
      <c r="H125" s="15"/>
    </row>
    <row r="126" spans="2:8" ht="23.25" x14ac:dyDescent="0.35">
      <c r="B126" s="8"/>
      <c r="C126" s="6"/>
      <c r="D126" s="6"/>
      <c r="E126" s="10" t="str">
        <f>"** "&amp;Sheet3!M125&amp;" ** "</f>
        <v xml:space="preserve">**  8 ** </v>
      </c>
      <c r="F126" s="6"/>
      <c r="G126" s="6"/>
      <c r="H126" s="9"/>
    </row>
    <row r="127" spans="2:8" ht="7.5" customHeight="1" x14ac:dyDescent="0.25">
      <c r="B127" s="11"/>
      <c r="C127" s="12"/>
      <c r="D127" s="12"/>
      <c r="E127" s="12"/>
      <c r="F127" s="12"/>
      <c r="G127" s="12"/>
      <c r="H127" s="13"/>
    </row>
    <row r="129" spans="2:8" ht="7.5" customHeight="1" x14ac:dyDescent="0.25">
      <c r="B129" s="3"/>
      <c r="C129" s="4"/>
      <c r="D129" s="4"/>
      <c r="E129" s="4"/>
      <c r="F129" s="4"/>
      <c r="G129" s="4"/>
      <c r="H129" s="5"/>
    </row>
    <row r="130" spans="2:8" ht="30.75" customHeight="1" x14ac:dyDescent="0.25">
      <c r="B130" s="8"/>
      <c r="C130" s="6"/>
      <c r="D130" s="6"/>
      <c r="E130" s="6"/>
      <c r="F130" s="6"/>
      <c r="G130" s="6"/>
      <c r="H130" s="9"/>
    </row>
    <row r="131" spans="2:8" ht="30.75" customHeight="1" x14ac:dyDescent="0.25">
      <c r="B131" s="8"/>
      <c r="C131" s="6"/>
      <c r="D131" s="6"/>
      <c r="E131" s="6"/>
      <c r="F131" s="6"/>
      <c r="G131" s="6"/>
      <c r="H131" s="9"/>
    </row>
    <row r="132" spans="2:8" s="16" customFormat="1" ht="23.25" customHeight="1" x14ac:dyDescent="0.25">
      <c r="B132" s="14"/>
      <c r="C132" s="21" t="str">
        <f>Sheet3!I132</f>
        <v>Roma</v>
      </c>
      <c r="D132" s="22"/>
      <c r="E132" s="22" t="s">
        <v>0</v>
      </c>
      <c r="F132" s="22" t="str">
        <f>Sheet3!L132</f>
        <v>Pamplona</v>
      </c>
      <c r="G132" s="23"/>
      <c r="H132" s="15"/>
    </row>
    <row r="133" spans="2:8" ht="23.25" x14ac:dyDescent="0.35">
      <c r="B133" s="8"/>
      <c r="C133" s="6"/>
      <c r="D133" s="6"/>
      <c r="E133" s="10" t="str">
        <f>"** "&amp;Sheet3!M132&amp;" ** "</f>
        <v xml:space="preserve">**  8 ** </v>
      </c>
      <c r="F133" s="6"/>
      <c r="G133" s="6"/>
      <c r="H133" s="9"/>
    </row>
    <row r="134" spans="2:8" ht="7.5" customHeight="1" x14ac:dyDescent="0.25">
      <c r="B134" s="11"/>
      <c r="C134" s="12"/>
      <c r="D134" s="12"/>
      <c r="E134" s="12"/>
      <c r="F134" s="12"/>
      <c r="G134" s="12"/>
      <c r="H134" s="13"/>
    </row>
    <row r="136" spans="2:8" ht="7.5" customHeight="1" x14ac:dyDescent="0.25">
      <c r="B136" s="3"/>
      <c r="C136" s="4"/>
      <c r="D136" s="4"/>
      <c r="E136" s="4"/>
      <c r="F136" s="4"/>
      <c r="G136" s="4"/>
      <c r="H136" s="5"/>
    </row>
    <row r="137" spans="2:8" ht="30.75" customHeight="1" x14ac:dyDescent="0.25">
      <c r="B137" s="8"/>
      <c r="C137" s="6"/>
      <c r="D137" s="6"/>
      <c r="E137" s="6"/>
      <c r="F137" s="6"/>
      <c r="G137" s="6"/>
      <c r="H137" s="9"/>
    </row>
    <row r="138" spans="2:8" ht="30.75" customHeight="1" x14ac:dyDescent="0.25">
      <c r="B138" s="8"/>
      <c r="C138" s="6"/>
      <c r="D138" s="6"/>
      <c r="E138" s="6"/>
      <c r="F138" s="6"/>
      <c r="G138" s="6"/>
      <c r="H138" s="9"/>
    </row>
    <row r="139" spans="2:8" s="16" customFormat="1" ht="23.25" customHeight="1" x14ac:dyDescent="0.25">
      <c r="B139" s="14"/>
      <c r="C139" s="21" t="str">
        <f>Sheet3!I139</f>
        <v>Roma</v>
      </c>
      <c r="D139" s="22"/>
      <c r="E139" s="22" t="s">
        <v>0</v>
      </c>
      <c r="F139" s="22" t="str">
        <f>Sheet3!L139</f>
        <v>Bruxelles</v>
      </c>
      <c r="G139" s="23"/>
      <c r="H139" s="15"/>
    </row>
    <row r="140" spans="2:8" ht="23.25" x14ac:dyDescent="0.35">
      <c r="B140" s="8"/>
      <c r="C140" s="6"/>
      <c r="D140" s="6"/>
      <c r="E140" s="10" t="str">
        <f>"** "&amp;Sheet3!M139&amp;" ** "</f>
        <v xml:space="preserve">**  8 ** </v>
      </c>
      <c r="F140" s="6"/>
      <c r="G140" s="6"/>
      <c r="H140" s="9"/>
    </row>
    <row r="141" spans="2:8" ht="7.5" customHeight="1" x14ac:dyDescent="0.25">
      <c r="B141" s="11"/>
      <c r="C141" s="12"/>
      <c r="D141" s="12"/>
      <c r="E141" s="12"/>
      <c r="F141" s="12"/>
      <c r="G141" s="12"/>
      <c r="H141" s="13"/>
    </row>
    <row r="143" spans="2:8" ht="7.5" customHeight="1" x14ac:dyDescent="0.25">
      <c r="B143" s="3"/>
      <c r="C143" s="4"/>
      <c r="D143" s="4"/>
      <c r="E143" s="4"/>
      <c r="F143" s="4"/>
      <c r="G143" s="4"/>
      <c r="H143" s="5"/>
    </row>
    <row r="144" spans="2:8" ht="30.75" customHeight="1" x14ac:dyDescent="0.25">
      <c r="B144" s="8"/>
      <c r="C144" s="6"/>
      <c r="D144" s="6"/>
      <c r="E144" s="6"/>
      <c r="F144" s="6"/>
      <c r="G144" s="6"/>
      <c r="H144" s="9"/>
    </row>
    <row r="145" spans="2:8" ht="30.75" customHeight="1" x14ac:dyDescent="0.25">
      <c r="B145" s="8"/>
      <c r="C145" s="6"/>
      <c r="D145" s="6"/>
      <c r="E145" s="6"/>
      <c r="F145" s="6"/>
      <c r="G145" s="6"/>
      <c r="H145" s="9"/>
    </row>
    <row r="146" spans="2:8" s="16" customFormat="1" ht="23.25" customHeight="1" x14ac:dyDescent="0.25">
      <c r="B146" s="14"/>
      <c r="C146" s="21" t="str">
        <f>Sheet3!I146</f>
        <v>Berlin</v>
      </c>
      <c r="D146" s="22"/>
      <c r="E146" s="22" t="s">
        <v>0</v>
      </c>
      <c r="F146" s="22" t="str">
        <f>Sheet3!L146</f>
        <v>Kyiv</v>
      </c>
      <c r="G146" s="23"/>
      <c r="H146" s="15"/>
    </row>
    <row r="147" spans="2:8" ht="23.25" x14ac:dyDescent="0.35">
      <c r="B147" s="8"/>
      <c r="C147" s="6"/>
      <c r="D147" s="6"/>
      <c r="E147" s="10" t="str">
        <f>"** "&amp;Sheet3!M146&amp;" ** "</f>
        <v xml:space="preserve">**  8 ** </v>
      </c>
      <c r="F147" s="6"/>
      <c r="G147" s="6"/>
      <c r="H147" s="9"/>
    </row>
    <row r="148" spans="2:8" ht="7.5" customHeight="1" x14ac:dyDescent="0.25">
      <c r="B148" s="11"/>
      <c r="C148" s="12"/>
      <c r="D148" s="12"/>
      <c r="E148" s="12"/>
      <c r="F148" s="12"/>
      <c r="G148" s="12"/>
      <c r="H148" s="13"/>
    </row>
    <row r="150" spans="2:8" ht="7.5" customHeight="1" x14ac:dyDescent="0.25">
      <c r="B150" s="3"/>
      <c r="C150" s="4"/>
      <c r="D150" s="4"/>
      <c r="E150" s="4"/>
      <c r="F150" s="4"/>
      <c r="G150" s="4"/>
      <c r="H150" s="5"/>
    </row>
    <row r="151" spans="2:8" ht="30.75" customHeight="1" x14ac:dyDescent="0.25">
      <c r="B151" s="8"/>
      <c r="C151" s="6"/>
      <c r="D151" s="6"/>
      <c r="E151" s="6"/>
      <c r="F151" s="6"/>
      <c r="G151" s="6"/>
      <c r="H151" s="9"/>
    </row>
    <row r="152" spans="2:8" ht="30.75" customHeight="1" x14ac:dyDescent="0.25">
      <c r="B152" s="8"/>
      <c r="C152" s="6"/>
      <c r="D152" s="6"/>
      <c r="E152" s="6"/>
      <c r="F152" s="6"/>
      <c r="G152" s="6"/>
      <c r="H152" s="9"/>
    </row>
    <row r="153" spans="2:8" s="16" customFormat="1" ht="23.25" customHeight="1" x14ac:dyDescent="0.25">
      <c r="B153" s="14"/>
      <c r="C153" s="21" t="str">
        <f>Sheet3!I153</f>
        <v>Wilno</v>
      </c>
      <c r="D153" s="22"/>
      <c r="E153" s="22" t="s">
        <v>0</v>
      </c>
      <c r="F153" s="22" t="str">
        <f>Sheet3!L153</f>
        <v>Constantinople</v>
      </c>
      <c r="G153" s="23"/>
      <c r="H153" s="15"/>
    </row>
    <row r="154" spans="2:8" ht="23.25" x14ac:dyDescent="0.35">
      <c r="B154" s="8"/>
      <c r="C154" s="6"/>
      <c r="D154" s="6"/>
      <c r="E154" s="10" t="str">
        <f>"** "&amp;Sheet3!M153&amp;" ** "</f>
        <v xml:space="preserve">**  9 ** </v>
      </c>
      <c r="F154" s="6"/>
      <c r="G154" s="6"/>
      <c r="H154" s="9"/>
    </row>
    <row r="155" spans="2:8" ht="7.5" customHeight="1" x14ac:dyDescent="0.25">
      <c r="B155" s="11"/>
      <c r="C155" s="12"/>
      <c r="D155" s="12"/>
      <c r="E155" s="12"/>
      <c r="F155" s="12"/>
      <c r="G155" s="12"/>
      <c r="H155" s="13"/>
    </row>
    <row r="157" spans="2:8" ht="7.5" customHeight="1" x14ac:dyDescent="0.25">
      <c r="B157" s="3"/>
      <c r="C157" s="4"/>
      <c r="D157" s="4"/>
      <c r="E157" s="4"/>
      <c r="F157" s="4"/>
      <c r="G157" s="4"/>
      <c r="H157" s="5"/>
    </row>
    <row r="158" spans="2:8" ht="30.75" customHeight="1" x14ac:dyDescent="0.25">
      <c r="B158" s="8"/>
      <c r="C158" s="6"/>
      <c r="D158" s="6"/>
      <c r="E158" s="6"/>
      <c r="F158" s="6"/>
      <c r="G158" s="6"/>
      <c r="H158" s="9"/>
    </row>
    <row r="159" spans="2:8" ht="30.75" customHeight="1" x14ac:dyDescent="0.25">
      <c r="B159" s="8"/>
      <c r="C159" s="6"/>
      <c r="D159" s="6"/>
      <c r="E159" s="6"/>
      <c r="F159" s="6"/>
      <c r="G159" s="6"/>
      <c r="H159" s="9"/>
    </row>
    <row r="160" spans="2:8" s="16" customFormat="1" ht="23.25" customHeight="1" x14ac:dyDescent="0.25">
      <c r="B160" s="14"/>
      <c r="C160" s="21" t="str">
        <f>Sheet3!I160</f>
        <v>Sarajevo</v>
      </c>
      <c r="D160" s="22"/>
      <c r="E160" s="22" t="s">
        <v>0</v>
      </c>
      <c r="F160" s="22" t="str">
        <f>Sheet3!L160</f>
        <v>Frankfurt</v>
      </c>
      <c r="G160" s="23"/>
      <c r="H160" s="15"/>
    </row>
    <row r="161" spans="2:8" ht="23.25" x14ac:dyDescent="0.35">
      <c r="B161" s="8"/>
      <c r="C161" s="6"/>
      <c r="D161" s="6"/>
      <c r="E161" s="10" t="str">
        <f>"** "&amp;Sheet3!M160&amp;" ** "</f>
        <v xml:space="preserve">**  9 ** </v>
      </c>
      <c r="F161" s="6"/>
      <c r="G161" s="6"/>
      <c r="H161" s="9"/>
    </row>
    <row r="162" spans="2:8" ht="7.5" customHeight="1" x14ac:dyDescent="0.25">
      <c r="B162" s="11"/>
      <c r="C162" s="12"/>
      <c r="D162" s="12"/>
      <c r="E162" s="12"/>
      <c r="F162" s="12"/>
      <c r="G162" s="12"/>
      <c r="H162" s="13"/>
    </row>
    <row r="164" spans="2:8" ht="7.5" customHeight="1" x14ac:dyDescent="0.25">
      <c r="B164" s="3"/>
      <c r="C164" s="4"/>
      <c r="D164" s="4"/>
      <c r="E164" s="4"/>
      <c r="F164" s="4"/>
      <c r="G164" s="4"/>
      <c r="H164" s="5"/>
    </row>
    <row r="165" spans="2:8" ht="30.75" customHeight="1" x14ac:dyDescent="0.25">
      <c r="B165" s="8"/>
      <c r="C165" s="6"/>
      <c r="D165" s="6"/>
      <c r="E165" s="6"/>
      <c r="F165" s="6"/>
      <c r="G165" s="6"/>
      <c r="H165" s="9"/>
    </row>
    <row r="166" spans="2:8" ht="30.75" customHeight="1" x14ac:dyDescent="0.25">
      <c r="B166" s="8"/>
      <c r="C166" s="6"/>
      <c r="D166" s="6"/>
      <c r="E166" s="6"/>
      <c r="F166" s="6"/>
      <c r="G166" s="6"/>
      <c r="H166" s="9"/>
    </row>
    <row r="167" spans="2:8" s="16" customFormat="1" ht="23.25" customHeight="1" x14ac:dyDescent="0.25">
      <c r="B167" s="14"/>
      <c r="C167" s="21" t="str">
        <f>Sheet3!I167</f>
        <v>Dieppe</v>
      </c>
      <c r="D167" s="22"/>
      <c r="E167" s="22" t="s">
        <v>0</v>
      </c>
      <c r="F167" s="22" t="str">
        <f>Sheet3!L167</f>
        <v>Kobenhavn</v>
      </c>
      <c r="G167" s="23"/>
      <c r="H167" s="15"/>
    </row>
    <row r="168" spans="2:8" ht="23.25" x14ac:dyDescent="0.35">
      <c r="B168" s="8"/>
      <c r="C168" s="6"/>
      <c r="D168" s="6"/>
      <c r="E168" s="10" t="str">
        <f>"** "&amp;Sheet3!M167&amp;" ** "</f>
        <v xml:space="preserve">**  9 ** </v>
      </c>
      <c r="F168" s="6"/>
      <c r="G168" s="6"/>
      <c r="H168" s="9"/>
    </row>
    <row r="169" spans="2:8" ht="7.5" customHeight="1" x14ac:dyDescent="0.25">
      <c r="B169" s="11"/>
      <c r="C169" s="12"/>
      <c r="D169" s="12"/>
      <c r="E169" s="12"/>
      <c r="F169" s="12"/>
      <c r="G169" s="12"/>
      <c r="H169" s="13"/>
    </row>
    <row r="171" spans="2:8" ht="7.5" customHeight="1" x14ac:dyDescent="0.25">
      <c r="B171" s="3"/>
      <c r="C171" s="4"/>
      <c r="D171" s="4"/>
      <c r="E171" s="4"/>
      <c r="F171" s="4"/>
      <c r="G171" s="4"/>
      <c r="H171" s="5"/>
    </row>
    <row r="172" spans="2:8" ht="30.75" customHeight="1" x14ac:dyDescent="0.25">
      <c r="B172" s="8"/>
      <c r="C172" s="6"/>
      <c r="D172" s="6"/>
      <c r="E172" s="6"/>
      <c r="F172" s="6"/>
      <c r="G172" s="6"/>
      <c r="H172" s="9"/>
    </row>
    <row r="173" spans="2:8" ht="30.75" customHeight="1" x14ac:dyDescent="0.25">
      <c r="B173" s="8"/>
      <c r="C173" s="6"/>
      <c r="D173" s="6"/>
      <c r="E173" s="6"/>
      <c r="F173" s="6"/>
      <c r="G173" s="6"/>
      <c r="H173" s="9"/>
    </row>
    <row r="174" spans="2:8" s="16" customFormat="1" ht="23.25" customHeight="1" x14ac:dyDescent="0.25">
      <c r="B174" s="14"/>
      <c r="C174" s="21" t="str">
        <f>Sheet3!I174</f>
        <v>Roma</v>
      </c>
      <c r="D174" s="22"/>
      <c r="E174" s="22" t="s">
        <v>0</v>
      </c>
      <c r="F174" s="22" t="str">
        <f>Sheet3!L174</f>
        <v>Bucuresti</v>
      </c>
      <c r="G174" s="23"/>
      <c r="H174" s="15"/>
    </row>
    <row r="175" spans="2:8" ht="23.25" x14ac:dyDescent="0.35">
      <c r="B175" s="8"/>
      <c r="C175" s="6"/>
      <c r="D175" s="6"/>
      <c r="E175" s="10" t="str">
        <f>"** "&amp;Sheet3!M174&amp;" ** "</f>
        <v xml:space="preserve">**  10 ** </v>
      </c>
      <c r="F175" s="6"/>
      <c r="G175" s="6"/>
      <c r="H175" s="9"/>
    </row>
    <row r="176" spans="2:8" ht="7.5" customHeight="1" x14ac:dyDescent="0.25">
      <c r="B176" s="11"/>
      <c r="C176" s="12"/>
      <c r="D176" s="12"/>
      <c r="E176" s="12"/>
      <c r="F176" s="12"/>
      <c r="G176" s="12"/>
      <c r="H176" s="13"/>
    </row>
    <row r="178" spans="2:8" ht="7.5" customHeight="1" x14ac:dyDescent="0.25">
      <c r="B178" s="3"/>
      <c r="C178" s="4"/>
      <c r="D178" s="4"/>
      <c r="E178" s="4"/>
      <c r="F178" s="4"/>
      <c r="G178" s="4"/>
      <c r="H178" s="5"/>
    </row>
    <row r="179" spans="2:8" ht="30.75" customHeight="1" x14ac:dyDescent="0.25">
      <c r="B179" s="8"/>
      <c r="C179" s="6"/>
      <c r="D179" s="6"/>
      <c r="E179" s="6"/>
      <c r="F179" s="6"/>
      <c r="G179" s="6"/>
      <c r="H179" s="9"/>
    </row>
    <row r="180" spans="2:8" ht="30.75" customHeight="1" x14ac:dyDescent="0.25">
      <c r="B180" s="8"/>
      <c r="C180" s="6"/>
      <c r="D180" s="6"/>
      <c r="E180" s="6"/>
      <c r="F180" s="6"/>
      <c r="G180" s="6"/>
      <c r="H180" s="9"/>
    </row>
    <row r="181" spans="2:8" s="16" customFormat="1" ht="23.25" customHeight="1" x14ac:dyDescent="0.25">
      <c r="B181" s="14"/>
      <c r="C181" s="21" t="str">
        <f>Sheet3!I181</f>
        <v>Zagrab</v>
      </c>
      <c r="D181" s="22"/>
      <c r="E181" s="22" t="s">
        <v>0</v>
      </c>
      <c r="F181" s="22" t="str">
        <f>Sheet3!L181</f>
        <v>Sevastopol</v>
      </c>
      <c r="G181" s="23"/>
      <c r="H181" s="15"/>
    </row>
    <row r="182" spans="2:8" ht="23.25" x14ac:dyDescent="0.35">
      <c r="B182" s="8"/>
      <c r="C182" s="6"/>
      <c r="D182" s="6"/>
      <c r="E182" s="10" t="str">
        <f>"** "&amp;Sheet3!M181&amp;" ** "</f>
        <v xml:space="preserve">**  10 ** </v>
      </c>
      <c r="F182" s="6"/>
      <c r="G182" s="6"/>
      <c r="H182" s="9"/>
    </row>
    <row r="183" spans="2:8" ht="7.5" customHeight="1" x14ac:dyDescent="0.25">
      <c r="B183" s="11"/>
      <c r="C183" s="12"/>
      <c r="D183" s="12"/>
      <c r="E183" s="12"/>
      <c r="F183" s="12"/>
      <c r="G183" s="12"/>
      <c r="H183" s="13"/>
    </row>
    <row r="185" spans="2:8" ht="7.5" customHeight="1" x14ac:dyDescent="0.25">
      <c r="B185" s="3"/>
      <c r="C185" s="4"/>
      <c r="D185" s="4"/>
      <c r="E185" s="4"/>
      <c r="F185" s="4"/>
      <c r="G185" s="4"/>
      <c r="H185" s="5"/>
    </row>
    <row r="186" spans="2:8" ht="30.75" customHeight="1" x14ac:dyDescent="0.25">
      <c r="B186" s="8"/>
      <c r="C186" s="6"/>
      <c r="D186" s="6"/>
      <c r="E186" s="6"/>
      <c r="F186" s="6"/>
      <c r="G186" s="6"/>
      <c r="H186" s="9"/>
    </row>
    <row r="187" spans="2:8" ht="30.75" customHeight="1" x14ac:dyDescent="0.25">
      <c r="B187" s="8"/>
      <c r="C187" s="6"/>
      <c r="D187" s="6"/>
      <c r="E187" s="6"/>
      <c r="F187" s="6"/>
      <c r="G187" s="6"/>
      <c r="H187" s="9"/>
    </row>
    <row r="188" spans="2:8" s="16" customFormat="1" ht="23.25" customHeight="1" x14ac:dyDescent="0.25">
      <c r="B188" s="14"/>
      <c r="C188" s="21" t="str">
        <f>Sheet3!I188</f>
        <v>Sofia</v>
      </c>
      <c r="D188" s="22"/>
      <c r="E188" s="22" t="s">
        <v>0</v>
      </c>
      <c r="F188" s="22" t="str">
        <f>Sheet3!L188</f>
        <v>Warszawa</v>
      </c>
      <c r="G188" s="23"/>
      <c r="H188" s="15"/>
    </row>
    <row r="189" spans="2:8" ht="23.25" x14ac:dyDescent="0.35">
      <c r="B189" s="8"/>
      <c r="C189" s="6"/>
      <c r="D189" s="6"/>
      <c r="E189" s="10" t="str">
        <f>"** "&amp;Sheet3!M188&amp;" ** "</f>
        <v xml:space="preserve">**  10 ** </v>
      </c>
      <c r="F189" s="6"/>
      <c r="G189" s="6"/>
      <c r="H189" s="9"/>
    </row>
    <row r="190" spans="2:8" ht="7.5" customHeight="1" x14ac:dyDescent="0.25">
      <c r="B190" s="11"/>
      <c r="C190" s="12"/>
      <c r="D190" s="12"/>
      <c r="E190" s="12"/>
      <c r="F190" s="12"/>
      <c r="G190" s="12"/>
      <c r="H190" s="13"/>
    </row>
    <row r="192" spans="2:8" ht="7.5" customHeight="1" x14ac:dyDescent="0.25">
      <c r="B192" s="3"/>
      <c r="C192" s="4"/>
      <c r="D192" s="4"/>
      <c r="E192" s="4"/>
      <c r="F192" s="4"/>
      <c r="G192" s="4"/>
      <c r="H192" s="5"/>
    </row>
    <row r="193" spans="2:8" ht="30.75" customHeight="1" x14ac:dyDescent="0.25">
      <c r="B193" s="8"/>
      <c r="C193" s="6"/>
      <c r="D193" s="6"/>
      <c r="E193" s="6"/>
      <c r="F193" s="6"/>
      <c r="G193" s="6"/>
      <c r="H193" s="9"/>
    </row>
    <row r="194" spans="2:8" ht="30.75" customHeight="1" x14ac:dyDescent="0.25">
      <c r="B194" s="8"/>
      <c r="C194" s="6"/>
      <c r="D194" s="6"/>
      <c r="E194" s="6"/>
      <c r="F194" s="6"/>
      <c r="G194" s="6"/>
      <c r="H194" s="9"/>
    </row>
    <row r="195" spans="2:8" s="16" customFormat="1" ht="23.25" customHeight="1" x14ac:dyDescent="0.25">
      <c r="B195" s="14"/>
      <c r="C195" s="21" t="str">
        <f>Sheet3!I195</f>
        <v>Budapest</v>
      </c>
      <c r="D195" s="22"/>
      <c r="E195" s="22" t="s">
        <v>0</v>
      </c>
      <c r="F195" s="22" t="str">
        <f>Sheet3!L195</f>
        <v>London</v>
      </c>
      <c r="G195" s="23"/>
      <c r="H195" s="15"/>
    </row>
    <row r="196" spans="2:8" ht="23.25" x14ac:dyDescent="0.35">
      <c r="B196" s="8"/>
      <c r="C196" s="6"/>
      <c r="D196" s="6"/>
      <c r="E196" s="10" t="str">
        <f>"** "&amp;Sheet3!M195&amp;" ** "</f>
        <v xml:space="preserve">**  10 ** </v>
      </c>
      <c r="F196" s="6"/>
      <c r="G196" s="6"/>
      <c r="H196" s="9"/>
    </row>
    <row r="197" spans="2:8" ht="7.5" customHeight="1" x14ac:dyDescent="0.25">
      <c r="B197" s="11"/>
      <c r="C197" s="12"/>
      <c r="D197" s="12"/>
      <c r="E197" s="12"/>
      <c r="F197" s="12"/>
      <c r="G197" s="12"/>
      <c r="H197" s="13"/>
    </row>
    <row r="199" spans="2:8" ht="7.5" customHeight="1" x14ac:dyDescent="0.25">
      <c r="B199" s="3"/>
      <c r="C199" s="4"/>
      <c r="D199" s="4"/>
      <c r="E199" s="4"/>
      <c r="F199" s="4"/>
      <c r="G199" s="4"/>
      <c r="H199" s="5"/>
    </row>
    <row r="200" spans="2:8" ht="30.75" customHeight="1" x14ac:dyDescent="0.25">
      <c r="B200" s="8"/>
      <c r="C200" s="6"/>
      <c r="D200" s="6"/>
      <c r="E200" s="6"/>
      <c r="F200" s="6"/>
      <c r="G200" s="6"/>
      <c r="H200" s="9"/>
    </row>
    <row r="201" spans="2:8" ht="30.75" customHeight="1" x14ac:dyDescent="0.25">
      <c r="B201" s="8"/>
      <c r="C201" s="6"/>
      <c r="D201" s="6"/>
      <c r="E201" s="6"/>
      <c r="F201" s="6"/>
      <c r="G201" s="6"/>
      <c r="H201" s="9"/>
    </row>
    <row r="202" spans="2:8" s="16" customFormat="1" ht="23.25" customHeight="1" x14ac:dyDescent="0.25">
      <c r="B202" s="14"/>
      <c r="C202" s="21" t="str">
        <f>Sheet3!I202</f>
        <v>Paris</v>
      </c>
      <c r="D202" s="22"/>
      <c r="E202" s="22" t="s">
        <v>0</v>
      </c>
      <c r="F202" s="22" t="str">
        <f>Sheet3!L202</f>
        <v>Lisboa</v>
      </c>
      <c r="G202" s="23"/>
      <c r="H202" s="15"/>
    </row>
    <row r="203" spans="2:8" ht="23.25" x14ac:dyDescent="0.35">
      <c r="B203" s="8"/>
      <c r="C203" s="6"/>
      <c r="D203" s="6"/>
      <c r="E203" s="10" t="str">
        <f>"** "&amp;Sheet3!M202&amp;" ** "</f>
        <v xml:space="preserve">**  10 ** </v>
      </c>
      <c r="F203" s="6"/>
      <c r="G203" s="6"/>
      <c r="H203" s="9"/>
    </row>
    <row r="204" spans="2:8" ht="7.5" customHeight="1" x14ac:dyDescent="0.25">
      <c r="B204" s="11"/>
      <c r="C204" s="12"/>
      <c r="D204" s="12"/>
      <c r="E204" s="12"/>
      <c r="F204" s="12"/>
      <c r="G204" s="12"/>
      <c r="H204" s="13"/>
    </row>
    <row r="206" spans="2:8" ht="7.5" customHeight="1" x14ac:dyDescent="0.25">
      <c r="B206" s="3"/>
      <c r="C206" s="4"/>
      <c r="D206" s="4"/>
      <c r="E206" s="4"/>
      <c r="F206" s="4"/>
      <c r="G206" s="4"/>
      <c r="H206" s="5"/>
    </row>
    <row r="207" spans="2:8" ht="30.75" customHeight="1" x14ac:dyDescent="0.25">
      <c r="B207" s="8"/>
      <c r="C207" s="6"/>
      <c r="D207" s="6"/>
      <c r="E207" s="6"/>
      <c r="F207" s="6"/>
      <c r="G207" s="6"/>
      <c r="H207" s="9"/>
    </row>
    <row r="208" spans="2:8" ht="30.75" customHeight="1" x14ac:dyDescent="0.25">
      <c r="B208" s="8"/>
      <c r="C208" s="6"/>
      <c r="D208" s="6"/>
      <c r="E208" s="6"/>
      <c r="F208" s="6"/>
      <c r="G208" s="6"/>
      <c r="H208" s="9"/>
    </row>
    <row r="209" spans="2:8" s="16" customFormat="1" ht="23.25" customHeight="1" x14ac:dyDescent="0.25">
      <c r="B209" s="14"/>
      <c r="C209" s="21" t="str">
        <f>Sheet3!I209</f>
        <v>Paris</v>
      </c>
      <c r="D209" s="22"/>
      <c r="E209" s="22" t="s">
        <v>0</v>
      </c>
      <c r="F209" s="22" t="str">
        <f>Sheet3!L209</f>
        <v>Danzic</v>
      </c>
      <c r="G209" s="23"/>
      <c r="H209" s="15"/>
    </row>
    <row r="210" spans="2:8" ht="23.25" x14ac:dyDescent="0.35">
      <c r="B210" s="8"/>
      <c r="C210" s="6"/>
      <c r="D210" s="6"/>
      <c r="E210" s="10" t="str">
        <f>"** "&amp;Sheet3!M209&amp;" ** "</f>
        <v xml:space="preserve">**  10 ** </v>
      </c>
      <c r="F210" s="6"/>
      <c r="G210" s="6"/>
      <c r="H210" s="9"/>
    </row>
    <row r="211" spans="2:8" ht="7.5" customHeight="1" x14ac:dyDescent="0.25">
      <c r="B211" s="11"/>
      <c r="C211" s="12"/>
      <c r="D211" s="12"/>
      <c r="E211" s="12"/>
      <c r="F211" s="12"/>
      <c r="G211" s="12"/>
      <c r="H211" s="13"/>
    </row>
    <row r="213" spans="2:8" ht="7.5" customHeight="1" x14ac:dyDescent="0.25">
      <c r="B213" s="3"/>
      <c r="C213" s="4"/>
      <c r="D213" s="4"/>
      <c r="E213" s="4"/>
      <c r="F213" s="4"/>
      <c r="G213" s="4"/>
      <c r="H213" s="5"/>
    </row>
    <row r="214" spans="2:8" ht="30.75" customHeight="1" x14ac:dyDescent="0.25">
      <c r="B214" s="8"/>
      <c r="C214" s="6"/>
      <c r="D214" s="6"/>
      <c r="E214" s="6"/>
      <c r="F214" s="6"/>
      <c r="G214" s="6"/>
      <c r="H214" s="9"/>
    </row>
    <row r="215" spans="2:8" ht="30.75" customHeight="1" x14ac:dyDescent="0.25">
      <c r="B215" s="8"/>
      <c r="C215" s="6"/>
      <c r="D215" s="6"/>
      <c r="E215" s="6"/>
      <c r="F215" s="6"/>
      <c r="G215" s="6"/>
      <c r="H215" s="9"/>
    </row>
    <row r="216" spans="2:8" s="16" customFormat="1" ht="23.25" customHeight="1" x14ac:dyDescent="0.25">
      <c r="B216" s="14"/>
      <c r="C216" s="21" t="str">
        <f>Sheet3!I216</f>
        <v>Smyrna</v>
      </c>
      <c r="D216" s="22"/>
      <c r="E216" s="22" t="s">
        <v>0</v>
      </c>
      <c r="F216" s="22" t="str">
        <f>Sheet3!L216</f>
        <v>Wien</v>
      </c>
      <c r="G216" s="23"/>
      <c r="H216" s="15"/>
    </row>
    <row r="217" spans="2:8" ht="23.25" x14ac:dyDescent="0.35">
      <c r="B217" s="8"/>
      <c r="C217" s="6"/>
      <c r="D217" s="6"/>
      <c r="E217" s="10" t="str">
        <f>"** "&amp;Sheet3!M216&amp;" ** "</f>
        <v xml:space="preserve">**  10 ** </v>
      </c>
      <c r="F217" s="6"/>
      <c r="G217" s="6"/>
      <c r="H217" s="9"/>
    </row>
    <row r="218" spans="2:8" ht="7.5" customHeight="1" x14ac:dyDescent="0.25">
      <c r="B218" s="11"/>
      <c r="C218" s="12"/>
      <c r="D218" s="12"/>
      <c r="E218" s="12"/>
      <c r="F218" s="12"/>
      <c r="G218" s="12"/>
      <c r="H218" s="13"/>
    </row>
    <row r="220" spans="2:8" ht="7.5" customHeight="1" x14ac:dyDescent="0.25">
      <c r="B220" s="3"/>
      <c r="C220" s="4"/>
      <c r="D220" s="4"/>
      <c r="E220" s="4"/>
      <c r="F220" s="4"/>
      <c r="G220" s="4"/>
      <c r="H220" s="5"/>
    </row>
    <row r="221" spans="2:8" ht="30.75" customHeight="1" x14ac:dyDescent="0.25">
      <c r="B221" s="8"/>
      <c r="C221" s="6"/>
      <c r="D221" s="6"/>
      <c r="E221" s="6"/>
      <c r="F221" s="6"/>
      <c r="G221" s="6"/>
      <c r="H221" s="9"/>
    </row>
    <row r="222" spans="2:8" ht="30.75" customHeight="1" x14ac:dyDescent="0.25">
      <c r="B222" s="8"/>
      <c r="C222" s="6"/>
      <c r="D222" s="6"/>
      <c r="E222" s="6"/>
      <c r="F222" s="6"/>
      <c r="G222" s="6"/>
      <c r="H222" s="9"/>
    </row>
    <row r="223" spans="2:8" s="16" customFormat="1" ht="23.25" customHeight="1" x14ac:dyDescent="0.25">
      <c r="B223" s="14"/>
      <c r="C223" s="21" t="str">
        <f>Sheet3!I223</f>
        <v>Wien</v>
      </c>
      <c r="D223" s="22"/>
      <c r="E223" s="22" t="s">
        <v>0</v>
      </c>
      <c r="F223" s="22" t="str">
        <f>Sheet3!L223</f>
        <v>Petrograd</v>
      </c>
      <c r="G223" s="23"/>
      <c r="H223" s="15"/>
    </row>
    <row r="224" spans="2:8" ht="23.25" x14ac:dyDescent="0.35">
      <c r="B224" s="8"/>
      <c r="C224" s="6"/>
      <c r="D224" s="6"/>
      <c r="E224" s="10" t="str">
        <f>"** "&amp;Sheet3!M223&amp;" ** "</f>
        <v xml:space="preserve">**  11 ** </v>
      </c>
      <c r="F224" s="6"/>
      <c r="G224" s="6"/>
      <c r="H224" s="9"/>
    </row>
    <row r="225" spans="2:8" ht="7.5" customHeight="1" x14ac:dyDescent="0.25">
      <c r="B225" s="11"/>
      <c r="C225" s="12"/>
      <c r="D225" s="12"/>
      <c r="E225" s="12"/>
      <c r="F225" s="12"/>
      <c r="G225" s="12"/>
      <c r="H225" s="13"/>
    </row>
    <row r="227" spans="2:8" ht="7.5" customHeight="1" x14ac:dyDescent="0.25">
      <c r="B227" s="3"/>
      <c r="C227" s="4"/>
      <c r="D227" s="4"/>
      <c r="E227" s="4"/>
      <c r="F227" s="4"/>
      <c r="G227" s="4"/>
      <c r="H227" s="5"/>
    </row>
    <row r="228" spans="2:8" ht="30.75" customHeight="1" x14ac:dyDescent="0.25">
      <c r="B228" s="8"/>
      <c r="C228" s="6"/>
      <c r="D228" s="6"/>
      <c r="E228" s="6"/>
      <c r="F228" s="6"/>
      <c r="G228" s="6"/>
      <c r="H228" s="9"/>
    </row>
    <row r="229" spans="2:8" ht="30.75" customHeight="1" x14ac:dyDescent="0.25">
      <c r="B229" s="8"/>
      <c r="C229" s="6"/>
      <c r="D229" s="6"/>
      <c r="E229" s="6"/>
      <c r="F229" s="6"/>
      <c r="G229" s="6"/>
      <c r="H229" s="9"/>
    </row>
    <row r="230" spans="2:8" s="16" customFormat="1" ht="23.25" customHeight="1" x14ac:dyDescent="0.25">
      <c r="B230" s="14"/>
      <c r="C230" s="21" t="str">
        <f>Sheet3!I230</f>
        <v>Frankfurt</v>
      </c>
      <c r="D230" s="22"/>
      <c r="E230" s="22" t="s">
        <v>0</v>
      </c>
      <c r="F230" s="22" t="str">
        <f>Sheet3!L230</f>
        <v>Sofia</v>
      </c>
      <c r="G230" s="23"/>
      <c r="H230" s="15"/>
    </row>
    <row r="231" spans="2:8" ht="23.25" x14ac:dyDescent="0.35">
      <c r="B231" s="8"/>
      <c r="C231" s="6"/>
      <c r="D231" s="6"/>
      <c r="E231" s="10" t="str">
        <f>"** "&amp;Sheet3!M230&amp;" ** "</f>
        <v xml:space="preserve">**  11 ** </v>
      </c>
      <c r="F231" s="6"/>
      <c r="G231" s="6"/>
      <c r="H231" s="9"/>
    </row>
    <row r="232" spans="2:8" ht="7.5" customHeight="1" x14ac:dyDescent="0.25">
      <c r="B232" s="11"/>
      <c r="C232" s="12"/>
      <c r="D232" s="12"/>
      <c r="E232" s="12"/>
      <c r="F232" s="12"/>
      <c r="G232" s="12"/>
      <c r="H232" s="13"/>
    </row>
    <row r="234" spans="2:8" ht="7.5" customHeight="1" x14ac:dyDescent="0.25">
      <c r="B234" s="3"/>
      <c r="C234" s="4"/>
      <c r="D234" s="4"/>
      <c r="E234" s="4"/>
      <c r="F234" s="4"/>
      <c r="G234" s="4"/>
      <c r="H234" s="5"/>
    </row>
    <row r="235" spans="2:8" ht="30.75" customHeight="1" x14ac:dyDescent="0.25">
      <c r="B235" s="8"/>
      <c r="C235" s="6"/>
      <c r="D235" s="6"/>
      <c r="E235" s="6"/>
      <c r="F235" s="6"/>
      <c r="G235" s="6"/>
      <c r="H235" s="9"/>
    </row>
    <row r="236" spans="2:8" ht="30.75" customHeight="1" x14ac:dyDescent="0.25">
      <c r="B236" s="8"/>
      <c r="C236" s="6"/>
      <c r="D236" s="6"/>
      <c r="E236" s="6"/>
      <c r="F236" s="6"/>
      <c r="G236" s="6"/>
      <c r="H236" s="9"/>
    </row>
    <row r="237" spans="2:8" s="16" customFormat="1" ht="23.25" customHeight="1" x14ac:dyDescent="0.25">
      <c r="B237" s="14"/>
      <c r="C237" s="21" t="str">
        <f>Sheet3!I237</f>
        <v>Zagrab</v>
      </c>
      <c r="D237" s="22"/>
      <c r="E237" s="22" t="s">
        <v>0</v>
      </c>
      <c r="F237" s="22" t="str">
        <f>Sheet3!L237</f>
        <v>Rica</v>
      </c>
      <c r="G237" s="23"/>
      <c r="H237" s="15"/>
    </row>
    <row r="238" spans="2:8" ht="23.25" x14ac:dyDescent="0.35">
      <c r="B238" s="8"/>
      <c r="C238" s="6"/>
      <c r="D238" s="6"/>
      <c r="E238" s="10" t="str">
        <f>"** "&amp;Sheet3!M237&amp;" ** "</f>
        <v xml:space="preserve">**  11 ** </v>
      </c>
      <c r="F238" s="6"/>
      <c r="G238" s="6"/>
      <c r="H238" s="9"/>
    </row>
    <row r="239" spans="2:8" ht="7.5" customHeight="1" x14ac:dyDescent="0.25">
      <c r="B239" s="11"/>
      <c r="C239" s="12"/>
      <c r="D239" s="12"/>
      <c r="E239" s="12"/>
      <c r="F239" s="12"/>
      <c r="G239" s="12"/>
      <c r="H239" s="13"/>
    </row>
    <row r="241" spans="2:8" ht="7.5" customHeight="1" x14ac:dyDescent="0.25">
      <c r="B241" s="3"/>
      <c r="C241" s="4"/>
      <c r="D241" s="4"/>
      <c r="E241" s="4"/>
      <c r="F241" s="4"/>
      <c r="G241" s="4"/>
      <c r="H241" s="5"/>
    </row>
    <row r="242" spans="2:8" ht="30.75" customHeight="1" x14ac:dyDescent="0.25">
      <c r="B242" s="8"/>
      <c r="C242" s="6"/>
      <c r="D242" s="6"/>
      <c r="E242" s="6"/>
      <c r="F242" s="6"/>
      <c r="G242" s="6"/>
      <c r="H242" s="9"/>
    </row>
    <row r="243" spans="2:8" ht="30.75" customHeight="1" x14ac:dyDescent="0.25">
      <c r="B243" s="8"/>
      <c r="C243" s="6"/>
      <c r="D243" s="6"/>
      <c r="E243" s="6"/>
      <c r="F243" s="6"/>
      <c r="G243" s="6"/>
      <c r="H243" s="9"/>
    </row>
    <row r="244" spans="2:8" s="16" customFormat="1" ht="23.25" customHeight="1" x14ac:dyDescent="0.25">
      <c r="B244" s="14"/>
      <c r="C244" s="21" t="str">
        <f>Sheet3!I244</f>
        <v>Wien</v>
      </c>
      <c r="D244" s="22"/>
      <c r="E244" s="22" t="s">
        <v>0</v>
      </c>
      <c r="F244" s="22" t="str">
        <f>Sheet3!L244</f>
        <v>Pamplona</v>
      </c>
      <c r="G244" s="23"/>
      <c r="H244" s="15"/>
    </row>
    <row r="245" spans="2:8" ht="23.25" x14ac:dyDescent="0.35">
      <c r="B245" s="8"/>
      <c r="C245" s="6"/>
      <c r="D245" s="6"/>
      <c r="E245" s="10" t="str">
        <f>"** "&amp;Sheet3!M244&amp;" ** "</f>
        <v xml:space="preserve">**  11 ** </v>
      </c>
      <c r="F245" s="6"/>
      <c r="G245" s="6"/>
      <c r="H245" s="9"/>
    </row>
    <row r="246" spans="2:8" ht="7.5" customHeight="1" x14ac:dyDescent="0.25">
      <c r="B246" s="11"/>
      <c r="C246" s="12"/>
      <c r="D246" s="12"/>
      <c r="E246" s="12"/>
      <c r="F246" s="12"/>
      <c r="G246" s="12"/>
      <c r="H246" s="13"/>
    </row>
    <row r="248" spans="2:8" ht="7.5" customHeight="1" x14ac:dyDescent="0.25">
      <c r="B248" s="3"/>
      <c r="C248" s="4"/>
      <c r="D248" s="4"/>
      <c r="E248" s="4"/>
      <c r="F248" s="4"/>
      <c r="G248" s="4"/>
      <c r="H248" s="5"/>
    </row>
    <row r="249" spans="2:8" ht="30.75" customHeight="1" x14ac:dyDescent="0.25">
      <c r="B249" s="8"/>
      <c r="C249" s="6"/>
      <c r="D249" s="6"/>
      <c r="E249" s="6"/>
      <c r="F249" s="6"/>
      <c r="G249" s="6"/>
      <c r="H249" s="9"/>
    </row>
    <row r="250" spans="2:8" ht="30.75" customHeight="1" x14ac:dyDescent="0.25">
      <c r="B250" s="8"/>
      <c r="C250" s="6"/>
      <c r="D250" s="6"/>
      <c r="E250" s="6"/>
      <c r="F250" s="6"/>
      <c r="G250" s="6"/>
      <c r="H250" s="9"/>
    </row>
    <row r="251" spans="2:8" s="16" customFormat="1" ht="23.25" customHeight="1" x14ac:dyDescent="0.25">
      <c r="B251" s="14"/>
      <c r="C251" s="21" t="str">
        <f>Sheet3!I251</f>
        <v>Palermo</v>
      </c>
      <c r="D251" s="22"/>
      <c r="E251" s="22" t="s">
        <v>0</v>
      </c>
      <c r="F251" s="22" t="str">
        <f>Sheet3!L251</f>
        <v>Angora</v>
      </c>
      <c r="G251" s="23"/>
      <c r="H251" s="15"/>
    </row>
    <row r="252" spans="2:8" ht="23.25" x14ac:dyDescent="0.35">
      <c r="B252" s="8"/>
      <c r="C252" s="6"/>
      <c r="D252" s="6"/>
      <c r="E252" s="10" t="str">
        <f>"** "&amp;Sheet3!M251&amp;" ** "</f>
        <v xml:space="preserve">**  9 ** </v>
      </c>
      <c r="F252" s="6"/>
      <c r="G252" s="6"/>
      <c r="H252" s="9"/>
    </row>
    <row r="253" spans="2:8" ht="7.5" customHeight="1" x14ac:dyDescent="0.25">
      <c r="B253" s="11"/>
      <c r="C253" s="12"/>
      <c r="D253" s="12"/>
      <c r="E253" s="12"/>
      <c r="F253" s="12"/>
      <c r="G253" s="12"/>
      <c r="H253" s="13"/>
    </row>
    <row r="255" spans="2:8" ht="7.5" customHeight="1" x14ac:dyDescent="0.25">
      <c r="B255" s="3"/>
      <c r="C255" s="4"/>
      <c r="D255" s="4"/>
      <c r="E255" s="4"/>
      <c r="F255" s="4"/>
      <c r="G255" s="4"/>
      <c r="H255" s="5"/>
    </row>
    <row r="256" spans="2:8" ht="30.75" customHeight="1" x14ac:dyDescent="0.25">
      <c r="B256" s="8"/>
      <c r="C256" s="6"/>
      <c r="D256" s="6"/>
      <c r="E256" s="6"/>
      <c r="F256" s="6"/>
      <c r="G256" s="6"/>
      <c r="H256" s="9"/>
    </row>
    <row r="257" spans="2:8" ht="30.75" customHeight="1" x14ac:dyDescent="0.25">
      <c r="B257" s="8"/>
      <c r="C257" s="6"/>
      <c r="D257" s="6"/>
      <c r="E257" s="6"/>
      <c r="F257" s="6"/>
      <c r="G257" s="6"/>
      <c r="H257" s="9"/>
    </row>
    <row r="258" spans="2:8" s="16" customFormat="1" ht="23.25" customHeight="1" x14ac:dyDescent="0.25">
      <c r="B258" s="14"/>
      <c r="C258" s="21" t="str">
        <f>Sheet3!I258</f>
        <v>Angora</v>
      </c>
      <c r="D258" s="22"/>
      <c r="E258" s="22" t="s">
        <v>0</v>
      </c>
      <c r="F258" s="22" t="str">
        <f>Sheet3!L258</f>
        <v>Smolensk</v>
      </c>
      <c r="G258" s="23"/>
      <c r="H258" s="15"/>
    </row>
    <row r="259" spans="2:8" ht="23.25" x14ac:dyDescent="0.35">
      <c r="B259" s="8"/>
      <c r="C259" s="6"/>
      <c r="D259" s="6"/>
      <c r="E259" s="10" t="str">
        <f>"** "&amp;Sheet3!M258&amp;" ** "</f>
        <v xml:space="preserve">**  12 ** </v>
      </c>
      <c r="F259" s="6"/>
      <c r="G259" s="6"/>
      <c r="H259" s="9"/>
    </row>
    <row r="260" spans="2:8" ht="7.5" customHeight="1" x14ac:dyDescent="0.25">
      <c r="B260" s="11"/>
      <c r="C260" s="12"/>
      <c r="D260" s="12"/>
      <c r="E260" s="12"/>
      <c r="F260" s="12"/>
      <c r="G260" s="12"/>
      <c r="H260" s="13"/>
    </row>
    <row r="262" spans="2:8" ht="7.5" customHeight="1" x14ac:dyDescent="0.25">
      <c r="B262" s="3"/>
      <c r="C262" s="4"/>
      <c r="D262" s="4"/>
      <c r="E262" s="4"/>
      <c r="F262" s="4"/>
      <c r="G262" s="4"/>
      <c r="H262" s="5"/>
    </row>
    <row r="263" spans="2:8" ht="30.75" customHeight="1" x14ac:dyDescent="0.25">
      <c r="B263" s="8"/>
      <c r="C263" s="6"/>
      <c r="D263" s="6"/>
      <c r="E263" s="6"/>
      <c r="F263" s="6"/>
      <c r="G263" s="6"/>
      <c r="H263" s="9"/>
    </row>
    <row r="264" spans="2:8" ht="30.75" customHeight="1" x14ac:dyDescent="0.25">
      <c r="B264" s="8"/>
      <c r="C264" s="6"/>
      <c r="D264" s="6"/>
      <c r="E264" s="6"/>
      <c r="F264" s="6"/>
      <c r="G264" s="6"/>
      <c r="H264" s="9"/>
    </row>
    <row r="265" spans="2:8" s="16" customFormat="1" ht="23.25" customHeight="1" x14ac:dyDescent="0.25">
      <c r="B265" s="14"/>
      <c r="C265" s="21" t="str">
        <f>Sheet3!I265</f>
        <v>Wilno</v>
      </c>
      <c r="D265" s="22"/>
      <c r="E265" s="22" t="s">
        <v>0</v>
      </c>
      <c r="F265" s="22" t="str">
        <f>Sheet3!L265</f>
        <v>Kobenhavn</v>
      </c>
      <c r="G265" s="23"/>
      <c r="H265" s="15"/>
    </row>
    <row r="266" spans="2:8" ht="23.25" x14ac:dyDescent="0.35">
      <c r="B266" s="8"/>
      <c r="C266" s="6"/>
      <c r="D266" s="6"/>
      <c r="E266" s="10" t="str">
        <f>"** "&amp;Sheet3!M265&amp;" ** "</f>
        <v xml:space="preserve">**  12 ** </v>
      </c>
      <c r="F266" s="6"/>
      <c r="G266" s="6"/>
      <c r="H266" s="9"/>
    </row>
    <row r="267" spans="2:8" ht="7.5" customHeight="1" x14ac:dyDescent="0.25">
      <c r="B267" s="11"/>
      <c r="C267" s="12"/>
      <c r="D267" s="12"/>
      <c r="E267" s="12"/>
      <c r="F267" s="12"/>
      <c r="G267" s="12"/>
      <c r="H267" s="13"/>
    </row>
    <row r="269" spans="2:8" ht="7.5" customHeight="1" x14ac:dyDescent="0.25">
      <c r="B269" s="3"/>
      <c r="C269" s="4"/>
      <c r="D269" s="4"/>
      <c r="E269" s="4"/>
      <c r="F269" s="4"/>
      <c r="G269" s="4"/>
      <c r="H269" s="5"/>
    </row>
    <row r="270" spans="2:8" ht="30.75" customHeight="1" x14ac:dyDescent="0.25">
      <c r="B270" s="8"/>
      <c r="C270" s="6"/>
      <c r="D270" s="6"/>
      <c r="E270" s="6"/>
      <c r="F270" s="6"/>
      <c r="G270" s="6"/>
      <c r="H270" s="9"/>
    </row>
    <row r="271" spans="2:8" ht="30.75" customHeight="1" x14ac:dyDescent="0.25">
      <c r="B271" s="8"/>
      <c r="C271" s="6"/>
      <c r="D271" s="6"/>
      <c r="E271" s="6"/>
      <c r="F271" s="6"/>
      <c r="G271" s="6"/>
      <c r="H271" s="9"/>
    </row>
    <row r="272" spans="2:8" s="16" customFormat="1" ht="23.25" customHeight="1" x14ac:dyDescent="0.25">
      <c r="B272" s="14"/>
      <c r="C272" s="21" t="str">
        <f>Sheet3!I272</f>
        <v>Pamplona</v>
      </c>
      <c r="D272" s="22"/>
      <c r="E272" s="22" t="s">
        <v>0</v>
      </c>
      <c r="F272" s="22" t="str">
        <f>Sheet3!L272</f>
        <v>Palermo</v>
      </c>
      <c r="G272" s="23"/>
      <c r="H272" s="15"/>
    </row>
    <row r="273" spans="2:8" ht="23.25" x14ac:dyDescent="0.35">
      <c r="B273" s="8"/>
      <c r="C273" s="6"/>
      <c r="D273" s="6"/>
      <c r="E273" s="10" t="str">
        <f>"** "&amp;Sheet3!M272&amp;" ** "</f>
        <v xml:space="preserve">**  12 ** </v>
      </c>
      <c r="F273" s="6"/>
      <c r="G273" s="6"/>
      <c r="H273" s="9"/>
    </row>
    <row r="274" spans="2:8" ht="7.5" customHeight="1" x14ac:dyDescent="0.25">
      <c r="B274" s="11"/>
      <c r="C274" s="12"/>
      <c r="D274" s="12"/>
      <c r="E274" s="12"/>
      <c r="F274" s="12"/>
      <c r="G274" s="12"/>
      <c r="H274" s="13"/>
    </row>
    <row r="276" spans="2:8" ht="7.5" customHeight="1" x14ac:dyDescent="0.25">
      <c r="B276" s="3"/>
      <c r="C276" s="4"/>
      <c r="D276" s="4"/>
      <c r="E276" s="4"/>
      <c r="F276" s="4"/>
      <c r="G276" s="4"/>
      <c r="H276" s="5"/>
    </row>
    <row r="277" spans="2:8" ht="30.75" customHeight="1" x14ac:dyDescent="0.25">
      <c r="B277" s="8"/>
      <c r="C277" s="6"/>
      <c r="D277" s="6"/>
      <c r="E277" s="6"/>
      <c r="F277" s="6"/>
      <c r="G277" s="6"/>
      <c r="H277" s="9"/>
    </row>
    <row r="278" spans="2:8" ht="30.75" customHeight="1" x14ac:dyDescent="0.25">
      <c r="B278" s="8"/>
      <c r="C278" s="6"/>
      <c r="D278" s="6"/>
      <c r="E278" s="6"/>
      <c r="F278" s="6"/>
      <c r="G278" s="6"/>
      <c r="H278" s="9"/>
    </row>
    <row r="279" spans="2:8" s="16" customFormat="1" ht="23.25" customHeight="1" x14ac:dyDescent="0.25">
      <c r="B279" s="14"/>
      <c r="C279" s="21" t="str">
        <f>Sheet3!I279</f>
        <v>Roma</v>
      </c>
      <c r="D279" s="22"/>
      <c r="E279" s="22" t="s">
        <v>0</v>
      </c>
      <c r="F279" s="22" t="str">
        <f>Sheet3!L279</f>
        <v>Kyiv</v>
      </c>
      <c r="G279" s="23"/>
      <c r="H279" s="15"/>
    </row>
    <row r="280" spans="2:8" ht="23.25" x14ac:dyDescent="0.35">
      <c r="B280" s="8"/>
      <c r="C280" s="6"/>
      <c r="D280" s="6"/>
      <c r="E280" s="10" t="str">
        <f>"** "&amp;Sheet3!M279&amp;" ** "</f>
        <v xml:space="preserve">**  12 ** </v>
      </c>
      <c r="F280" s="6"/>
      <c r="G280" s="6"/>
      <c r="H280" s="9"/>
    </row>
    <row r="281" spans="2:8" ht="7.5" customHeight="1" x14ac:dyDescent="0.25">
      <c r="B281" s="11"/>
      <c r="C281" s="12"/>
      <c r="D281" s="12"/>
      <c r="E281" s="12"/>
      <c r="F281" s="12"/>
      <c r="G281" s="12"/>
      <c r="H281" s="13"/>
    </row>
    <row r="283" spans="2:8" ht="7.5" customHeight="1" x14ac:dyDescent="0.25">
      <c r="B283" s="3"/>
      <c r="C283" s="4"/>
      <c r="D283" s="4"/>
      <c r="E283" s="4"/>
      <c r="F283" s="4"/>
      <c r="G283" s="4"/>
      <c r="H283" s="5"/>
    </row>
    <row r="284" spans="2:8" ht="30.75" customHeight="1" x14ac:dyDescent="0.25">
      <c r="B284" s="8"/>
      <c r="C284" s="6"/>
      <c r="D284" s="6"/>
      <c r="E284" s="6"/>
      <c r="F284" s="6"/>
      <c r="G284" s="6"/>
      <c r="H284" s="9"/>
    </row>
    <row r="285" spans="2:8" ht="30.75" customHeight="1" x14ac:dyDescent="0.25">
      <c r="B285" s="8"/>
      <c r="C285" s="6"/>
      <c r="D285" s="6"/>
      <c r="E285" s="6"/>
      <c r="F285" s="6"/>
      <c r="G285" s="6"/>
      <c r="H285" s="9"/>
    </row>
    <row r="286" spans="2:8" s="16" customFormat="1" ht="23.25" customHeight="1" x14ac:dyDescent="0.25">
      <c r="B286" s="14"/>
      <c r="C286" s="21" t="str">
        <f>Sheet3!I286</f>
        <v>Sevastopol</v>
      </c>
      <c r="D286" s="22"/>
      <c r="E286" s="22" t="s">
        <v>0</v>
      </c>
      <c r="F286" s="22" t="str">
        <f>Sheet3!L286</f>
        <v>Brindisi</v>
      </c>
      <c r="G286" s="23"/>
      <c r="H286" s="15"/>
    </row>
    <row r="287" spans="2:8" ht="23.25" x14ac:dyDescent="0.35">
      <c r="B287" s="8"/>
      <c r="C287" s="6"/>
      <c r="D287" s="6"/>
      <c r="E287" s="10" t="str">
        <f>"** "&amp;Sheet3!M286&amp;" ** "</f>
        <v xml:space="preserve">**  12 ** </v>
      </c>
      <c r="F287" s="6"/>
      <c r="G287" s="6"/>
      <c r="H287" s="9"/>
    </row>
    <row r="288" spans="2:8" ht="7.5" customHeight="1" x14ac:dyDescent="0.25">
      <c r="B288" s="11"/>
      <c r="C288" s="12"/>
      <c r="D288" s="12"/>
      <c r="E288" s="12"/>
      <c r="F288" s="12"/>
      <c r="G288" s="12"/>
      <c r="H288" s="13"/>
    </row>
    <row r="290" spans="2:8" ht="7.5" customHeight="1" x14ac:dyDescent="0.25">
      <c r="B290" s="3"/>
      <c r="C290" s="4"/>
      <c r="D290" s="4"/>
      <c r="E290" s="4"/>
      <c r="F290" s="4"/>
      <c r="G290" s="4"/>
      <c r="H290" s="5"/>
    </row>
    <row r="291" spans="2:8" ht="30.75" customHeight="1" x14ac:dyDescent="0.25">
      <c r="B291" s="8"/>
      <c r="C291" s="6"/>
      <c r="D291" s="6"/>
      <c r="E291" s="6"/>
      <c r="F291" s="6"/>
      <c r="G291" s="6"/>
      <c r="H291" s="9"/>
    </row>
    <row r="292" spans="2:8" ht="30.75" customHeight="1" x14ac:dyDescent="0.25">
      <c r="B292" s="8"/>
      <c r="C292" s="6"/>
      <c r="D292" s="6"/>
      <c r="E292" s="6"/>
      <c r="F292" s="6"/>
      <c r="G292" s="6"/>
      <c r="H292" s="9"/>
    </row>
    <row r="293" spans="2:8" s="16" customFormat="1" ht="23.25" customHeight="1" x14ac:dyDescent="0.25">
      <c r="B293" s="14"/>
      <c r="C293" s="21" t="str">
        <f>Sheet3!I293</f>
        <v>Budapest</v>
      </c>
      <c r="D293" s="22"/>
      <c r="E293" s="22" t="s">
        <v>0</v>
      </c>
      <c r="F293" s="22" t="str">
        <f>Sheet3!L293</f>
        <v>Petrograd</v>
      </c>
      <c r="G293" s="23"/>
      <c r="H293" s="15"/>
    </row>
    <row r="294" spans="2:8" ht="23.25" x14ac:dyDescent="0.35">
      <c r="B294" s="8"/>
      <c r="C294" s="6"/>
      <c r="D294" s="6"/>
      <c r="E294" s="10" t="str">
        <f>"** "&amp;Sheet3!M293&amp;" ** "</f>
        <v xml:space="preserve">**  12 ** </v>
      </c>
      <c r="F294" s="6"/>
      <c r="G294" s="6"/>
      <c r="H294" s="9"/>
    </row>
    <row r="295" spans="2:8" ht="7.5" customHeight="1" x14ac:dyDescent="0.25">
      <c r="B295" s="11"/>
      <c r="C295" s="12"/>
      <c r="D295" s="12"/>
      <c r="E295" s="12"/>
      <c r="F295" s="12"/>
      <c r="G295" s="12"/>
      <c r="H295" s="13"/>
    </row>
    <row r="297" spans="2:8" ht="7.5" customHeight="1" x14ac:dyDescent="0.25">
      <c r="B297" s="3"/>
      <c r="C297" s="4"/>
      <c r="D297" s="4"/>
      <c r="E297" s="4"/>
      <c r="F297" s="4"/>
      <c r="G297" s="4"/>
      <c r="H297" s="5"/>
    </row>
    <row r="298" spans="2:8" ht="30.75" customHeight="1" x14ac:dyDescent="0.25">
      <c r="B298" s="8"/>
      <c r="C298" s="6"/>
      <c r="D298" s="6"/>
      <c r="E298" s="6"/>
      <c r="F298" s="6"/>
      <c r="G298" s="6"/>
      <c r="H298" s="9"/>
    </row>
    <row r="299" spans="2:8" ht="30.75" customHeight="1" x14ac:dyDescent="0.25">
      <c r="B299" s="8"/>
      <c r="C299" s="6"/>
      <c r="D299" s="6"/>
      <c r="E299" s="6"/>
      <c r="F299" s="6"/>
      <c r="G299" s="6"/>
      <c r="H299" s="9"/>
    </row>
    <row r="300" spans="2:8" s="16" customFormat="1" ht="23.25" customHeight="1" x14ac:dyDescent="0.25">
      <c r="B300" s="14"/>
      <c r="C300" s="21" t="str">
        <f>Sheet3!I300</f>
        <v>Zurich</v>
      </c>
      <c r="D300" s="22"/>
      <c r="E300" s="22" t="s">
        <v>0</v>
      </c>
      <c r="F300" s="22" t="str">
        <f>Sheet3!L300</f>
        <v>Constantinople</v>
      </c>
      <c r="G300" s="23"/>
      <c r="H300" s="15"/>
    </row>
    <row r="301" spans="2:8" ht="23.25" x14ac:dyDescent="0.35">
      <c r="B301" s="8"/>
      <c r="C301" s="6"/>
      <c r="D301" s="6"/>
      <c r="E301" s="10" t="str">
        <f>"** "&amp;Sheet3!M300&amp;" ** "</f>
        <v xml:space="preserve">**  12 ** </v>
      </c>
      <c r="F301" s="6"/>
      <c r="G301" s="6"/>
      <c r="H301" s="9"/>
    </row>
    <row r="302" spans="2:8" ht="7.5" customHeight="1" x14ac:dyDescent="0.25">
      <c r="B302" s="11"/>
      <c r="C302" s="12"/>
      <c r="D302" s="12"/>
      <c r="E302" s="12"/>
      <c r="F302" s="12"/>
      <c r="G302" s="12"/>
      <c r="H302" s="13"/>
    </row>
    <row r="304" spans="2:8" ht="7.5" customHeight="1" x14ac:dyDescent="0.25">
      <c r="B304" s="3"/>
      <c r="C304" s="4"/>
      <c r="D304" s="4"/>
      <c r="E304" s="4"/>
      <c r="F304" s="4"/>
      <c r="G304" s="4"/>
      <c r="H304" s="5"/>
    </row>
    <row r="305" spans="2:8" ht="30.75" customHeight="1" x14ac:dyDescent="0.25">
      <c r="B305" s="8"/>
      <c r="C305" s="6"/>
      <c r="D305" s="6"/>
      <c r="E305" s="6"/>
      <c r="F305" s="6"/>
      <c r="G305" s="6"/>
      <c r="H305" s="9"/>
    </row>
    <row r="306" spans="2:8" ht="30.75" customHeight="1" x14ac:dyDescent="0.25">
      <c r="B306" s="8"/>
      <c r="C306" s="6"/>
      <c r="D306" s="6"/>
      <c r="E306" s="6"/>
      <c r="F306" s="6"/>
      <c r="G306" s="6"/>
      <c r="H306" s="9"/>
    </row>
    <row r="307" spans="2:8" s="16" customFormat="1" ht="23.25" customHeight="1" x14ac:dyDescent="0.25">
      <c r="B307" s="14"/>
      <c r="C307" s="21" t="str">
        <f>Sheet3!I307</f>
        <v>Marseille</v>
      </c>
      <c r="D307" s="22"/>
      <c r="E307" s="22" t="s">
        <v>0</v>
      </c>
      <c r="F307" s="22" t="str">
        <f>Sheet3!L307</f>
        <v>Danzic</v>
      </c>
      <c r="G307" s="23"/>
      <c r="H307" s="15"/>
    </row>
    <row r="308" spans="2:8" ht="23.25" x14ac:dyDescent="0.35">
      <c r="B308" s="8"/>
      <c r="C308" s="6"/>
      <c r="D308" s="6"/>
      <c r="E308" s="10" t="str">
        <f>"** "&amp;Sheet3!M307&amp;" ** "</f>
        <v xml:space="preserve">**  13 ** </v>
      </c>
      <c r="F308" s="6"/>
      <c r="G308" s="6"/>
      <c r="H308" s="9"/>
    </row>
    <row r="309" spans="2:8" ht="7.5" customHeight="1" x14ac:dyDescent="0.25">
      <c r="B309" s="11"/>
      <c r="C309" s="12"/>
      <c r="D309" s="12"/>
      <c r="E309" s="12"/>
      <c r="F309" s="12"/>
      <c r="G309" s="12"/>
      <c r="H309" s="13"/>
    </row>
    <row r="311" spans="2:8" ht="7.5" customHeight="1" x14ac:dyDescent="0.25">
      <c r="B311" s="3"/>
      <c r="C311" s="4"/>
      <c r="D311" s="4"/>
      <c r="E311" s="4"/>
      <c r="F311" s="4"/>
      <c r="G311" s="4"/>
      <c r="H311" s="5"/>
    </row>
    <row r="312" spans="2:8" ht="30.75" customHeight="1" x14ac:dyDescent="0.25">
      <c r="B312" s="8"/>
      <c r="C312" s="6"/>
      <c r="D312" s="6"/>
      <c r="E312" s="6"/>
      <c r="F312" s="6"/>
      <c r="G312" s="6"/>
      <c r="H312" s="9"/>
    </row>
    <row r="313" spans="2:8" ht="30.75" customHeight="1" x14ac:dyDescent="0.25">
      <c r="B313" s="8"/>
      <c r="C313" s="6"/>
      <c r="D313" s="6"/>
      <c r="E313" s="6"/>
      <c r="F313" s="6"/>
      <c r="G313" s="6"/>
      <c r="H313" s="9"/>
    </row>
    <row r="314" spans="2:8" s="16" customFormat="1" ht="23.25" customHeight="1" x14ac:dyDescent="0.25">
      <c r="B314" s="14"/>
      <c r="C314" s="21" t="str">
        <f>Sheet3!I314</f>
        <v>London</v>
      </c>
      <c r="D314" s="22"/>
      <c r="E314" s="22" t="s">
        <v>0</v>
      </c>
      <c r="F314" s="22" t="str">
        <f>Sheet3!L314</f>
        <v>Roma</v>
      </c>
      <c r="G314" s="23"/>
      <c r="H314" s="15"/>
    </row>
    <row r="315" spans="2:8" ht="23.25" x14ac:dyDescent="0.35">
      <c r="B315" s="8"/>
      <c r="C315" s="6"/>
      <c r="D315" s="6"/>
      <c r="E315" s="10" t="str">
        <f>"** "&amp;Sheet3!M314&amp;" ** "</f>
        <v xml:space="preserve">**  10 ** </v>
      </c>
      <c r="F315" s="6"/>
      <c r="G315" s="6"/>
      <c r="H315" s="9"/>
    </row>
    <row r="316" spans="2:8" ht="7.5" customHeight="1" x14ac:dyDescent="0.25">
      <c r="B316" s="11"/>
      <c r="C316" s="12"/>
      <c r="D316" s="12"/>
      <c r="E316" s="12"/>
      <c r="F316" s="12"/>
      <c r="G316" s="12"/>
      <c r="H316" s="13"/>
    </row>
    <row r="318" spans="2:8" ht="7.5" customHeight="1" x14ac:dyDescent="0.25">
      <c r="B318" s="3"/>
      <c r="C318" s="4"/>
      <c r="D318" s="4"/>
      <c r="E318" s="4"/>
      <c r="F318" s="4"/>
      <c r="G318" s="4"/>
      <c r="H318" s="5"/>
    </row>
    <row r="319" spans="2:8" ht="30.75" customHeight="1" x14ac:dyDescent="0.25">
      <c r="B319" s="8"/>
      <c r="C319" s="6"/>
      <c r="D319" s="6"/>
      <c r="E319" s="6"/>
      <c r="F319" s="6"/>
      <c r="G319" s="6"/>
      <c r="H319" s="9"/>
    </row>
    <row r="320" spans="2:8" ht="30.75" customHeight="1" x14ac:dyDescent="0.25">
      <c r="B320" s="8"/>
      <c r="C320" s="6"/>
      <c r="D320" s="6"/>
      <c r="E320" s="6"/>
      <c r="F320" s="6"/>
      <c r="G320" s="6"/>
      <c r="H320" s="9"/>
    </row>
    <row r="321" spans="2:8" s="16" customFormat="1" ht="23.25" customHeight="1" x14ac:dyDescent="0.25">
      <c r="B321" s="14"/>
      <c r="C321" s="21" t="str">
        <f>Sheet3!I321</f>
        <v>Stockholm</v>
      </c>
      <c r="D321" s="22"/>
      <c r="E321" s="22" t="s">
        <v>0</v>
      </c>
      <c r="F321" s="22" t="str">
        <f>Sheet3!L321</f>
        <v>Zagrab</v>
      </c>
      <c r="G321" s="23"/>
      <c r="H321" s="15"/>
    </row>
    <row r="322" spans="2:8" ht="23.25" x14ac:dyDescent="0.35">
      <c r="B322" s="8"/>
      <c r="C322" s="6"/>
      <c r="D322" s="6"/>
      <c r="E322" s="10" t="str">
        <f>"** "&amp;Sheet3!M321&amp;" ** "</f>
        <v xml:space="preserve">**  13 ** </v>
      </c>
      <c r="F322" s="6"/>
      <c r="G322" s="6"/>
      <c r="H322" s="9"/>
    </row>
    <row r="323" spans="2:8" ht="7.5" customHeight="1" x14ac:dyDescent="0.25">
      <c r="B323" s="11"/>
      <c r="C323" s="12"/>
      <c r="D323" s="12"/>
      <c r="E323" s="12"/>
      <c r="F323" s="12"/>
      <c r="G323" s="12"/>
      <c r="H323" s="13"/>
    </row>
    <row r="325" spans="2:8" ht="7.5" customHeight="1" x14ac:dyDescent="0.25">
      <c r="B325" s="3"/>
      <c r="C325" s="4"/>
      <c r="D325" s="4"/>
      <c r="E325" s="4"/>
      <c r="F325" s="4"/>
      <c r="G325" s="4"/>
      <c r="H325" s="5"/>
    </row>
    <row r="326" spans="2:8" ht="30.75" customHeight="1" x14ac:dyDescent="0.25">
      <c r="B326" s="8"/>
      <c r="C326" s="6"/>
      <c r="D326" s="6"/>
      <c r="E326" s="6"/>
      <c r="F326" s="6"/>
      <c r="G326" s="6"/>
      <c r="H326" s="9"/>
    </row>
    <row r="327" spans="2:8" ht="30.75" customHeight="1" x14ac:dyDescent="0.25">
      <c r="B327" s="8"/>
      <c r="C327" s="6"/>
      <c r="D327" s="6"/>
      <c r="E327" s="6"/>
      <c r="F327" s="6"/>
      <c r="G327" s="6"/>
      <c r="H327" s="9"/>
    </row>
    <row r="328" spans="2:8" s="16" customFormat="1" ht="23.25" customHeight="1" x14ac:dyDescent="0.25">
      <c r="B328" s="14"/>
      <c r="C328" s="21" t="str">
        <f>Sheet3!I328</f>
        <v>Kharkov</v>
      </c>
      <c r="D328" s="22"/>
      <c r="E328" s="22" t="s">
        <v>0</v>
      </c>
      <c r="F328" s="22" t="str">
        <f>Sheet3!L328</f>
        <v>Sochi</v>
      </c>
      <c r="G328" s="23"/>
      <c r="H328" s="15"/>
    </row>
    <row r="329" spans="2:8" ht="23.25" x14ac:dyDescent="0.35">
      <c r="B329" s="8"/>
      <c r="C329" s="6"/>
      <c r="D329" s="6"/>
      <c r="E329" s="10" t="str">
        <f>"** "&amp;Sheet3!M328&amp;" ** "</f>
        <v xml:space="preserve">**  4 ** </v>
      </c>
      <c r="F329" s="6"/>
      <c r="G329" s="6"/>
      <c r="H329" s="9"/>
    </row>
    <row r="330" spans="2:8" ht="7.5" customHeight="1" x14ac:dyDescent="0.25">
      <c r="B330" s="11"/>
      <c r="C330" s="12"/>
      <c r="D330" s="12"/>
      <c r="E330" s="12"/>
      <c r="F330" s="12"/>
      <c r="G330" s="12"/>
      <c r="H330" s="13"/>
    </row>
    <row r="332" spans="2:8" ht="7.5" customHeight="1" x14ac:dyDescent="0.25">
      <c r="B332" s="3"/>
      <c r="C332" s="4"/>
      <c r="D332" s="4"/>
      <c r="E332" s="4"/>
      <c r="F332" s="4"/>
      <c r="G332" s="4"/>
      <c r="H332" s="5"/>
    </row>
    <row r="333" spans="2:8" ht="30.75" customHeight="1" x14ac:dyDescent="0.25">
      <c r="B333" s="8"/>
      <c r="C333" s="6"/>
      <c r="D333" s="6"/>
      <c r="E333" s="6"/>
      <c r="F333" s="6"/>
      <c r="G333" s="6"/>
      <c r="H333" s="9"/>
    </row>
    <row r="334" spans="2:8" ht="30.75" customHeight="1" x14ac:dyDescent="0.25">
      <c r="B334" s="8"/>
      <c r="C334" s="6"/>
      <c r="D334" s="6"/>
      <c r="E334" s="6"/>
      <c r="F334" s="6"/>
      <c r="G334" s="6"/>
      <c r="H334" s="9"/>
    </row>
    <row r="335" spans="2:8" s="16" customFormat="1" ht="23.25" customHeight="1" x14ac:dyDescent="0.25">
      <c r="B335" s="14"/>
      <c r="C335" s="21" t="str">
        <f>Sheet3!I335</f>
        <v>Amsterdam</v>
      </c>
      <c r="D335" s="22"/>
      <c r="E335" s="22" t="s">
        <v>0</v>
      </c>
      <c r="F335" s="22" t="str">
        <f>Sheet3!L335</f>
        <v>Cadiz</v>
      </c>
      <c r="G335" s="23"/>
      <c r="H335" s="15"/>
    </row>
    <row r="336" spans="2:8" ht="23.25" x14ac:dyDescent="0.35">
      <c r="B336" s="8"/>
      <c r="C336" s="6"/>
      <c r="D336" s="6"/>
      <c r="E336" s="10" t="str">
        <f>"** "&amp;Sheet3!M335&amp;" ** "</f>
        <v xml:space="preserve">**  13 ** </v>
      </c>
      <c r="F336" s="6"/>
      <c r="G336" s="6"/>
      <c r="H336" s="9"/>
    </row>
    <row r="337" spans="2:8" ht="7.5" customHeight="1" x14ac:dyDescent="0.25">
      <c r="B337" s="11"/>
      <c r="C337" s="12"/>
      <c r="D337" s="12"/>
      <c r="E337" s="12"/>
      <c r="F337" s="12"/>
      <c r="G337" s="12"/>
      <c r="H337" s="13"/>
    </row>
    <row r="339" spans="2:8" ht="7.5" customHeight="1" x14ac:dyDescent="0.25">
      <c r="B339" s="3"/>
      <c r="C339" s="4"/>
      <c r="D339" s="4"/>
      <c r="E339" s="4"/>
      <c r="F339" s="4"/>
      <c r="G339" s="4"/>
      <c r="H339" s="5"/>
    </row>
    <row r="340" spans="2:8" ht="30.75" customHeight="1" x14ac:dyDescent="0.25">
      <c r="B340" s="8"/>
      <c r="C340" s="6"/>
      <c r="D340" s="6"/>
      <c r="E340" s="6"/>
      <c r="F340" s="6"/>
      <c r="G340" s="6"/>
      <c r="H340" s="9"/>
    </row>
    <row r="341" spans="2:8" ht="30.75" customHeight="1" x14ac:dyDescent="0.25">
      <c r="B341" s="8"/>
      <c r="C341" s="6"/>
      <c r="D341" s="6"/>
      <c r="E341" s="6"/>
      <c r="F341" s="6"/>
      <c r="G341" s="6"/>
      <c r="H341" s="9"/>
    </row>
    <row r="342" spans="2:8" s="16" customFormat="1" ht="23.25" customHeight="1" x14ac:dyDescent="0.25">
      <c r="B342" s="14"/>
      <c r="C342" s="21" t="str">
        <f>Sheet3!I342</f>
        <v>Berlin</v>
      </c>
      <c r="D342" s="22"/>
      <c r="E342" s="22" t="s">
        <v>0</v>
      </c>
      <c r="F342" s="22" t="str">
        <f>Sheet3!L342</f>
        <v>Madrid</v>
      </c>
      <c r="G342" s="23"/>
      <c r="H342" s="15"/>
    </row>
    <row r="343" spans="2:8" ht="23.25" x14ac:dyDescent="0.35">
      <c r="B343" s="8"/>
      <c r="C343" s="6"/>
      <c r="D343" s="6"/>
      <c r="E343" s="10" t="str">
        <f>"** "&amp;Sheet3!M342&amp;" ** "</f>
        <v xml:space="preserve">**  13 ** </v>
      </c>
      <c r="F343" s="6"/>
      <c r="G343" s="6"/>
      <c r="H343" s="9"/>
    </row>
    <row r="344" spans="2:8" ht="7.5" customHeight="1" x14ac:dyDescent="0.25">
      <c r="B344" s="11"/>
      <c r="C344" s="12"/>
      <c r="D344" s="12"/>
      <c r="E344" s="12"/>
      <c r="F344" s="12"/>
      <c r="G344" s="12"/>
      <c r="H344" s="13"/>
    </row>
    <row r="346" spans="2:8" ht="7.5" customHeight="1" x14ac:dyDescent="0.25">
      <c r="B346" s="3"/>
      <c r="C346" s="4"/>
      <c r="D346" s="4"/>
      <c r="E346" s="4"/>
      <c r="F346" s="4"/>
      <c r="G346" s="4"/>
      <c r="H346" s="5"/>
    </row>
    <row r="347" spans="2:8" ht="30.75" customHeight="1" x14ac:dyDescent="0.25">
      <c r="B347" s="8"/>
      <c r="C347" s="6"/>
      <c r="D347" s="6"/>
      <c r="E347" s="6"/>
      <c r="F347" s="6"/>
      <c r="G347" s="6"/>
      <c r="H347" s="9"/>
    </row>
    <row r="348" spans="2:8" ht="30.75" customHeight="1" x14ac:dyDescent="0.25">
      <c r="B348" s="8"/>
      <c r="C348" s="6"/>
      <c r="D348" s="6"/>
      <c r="E348" s="6"/>
      <c r="F348" s="6"/>
      <c r="G348" s="6"/>
      <c r="H348" s="9"/>
    </row>
    <row r="349" spans="2:8" s="16" customFormat="1" ht="23.25" customHeight="1" x14ac:dyDescent="0.25">
      <c r="B349" s="14"/>
      <c r="C349" s="21" t="str">
        <f>Sheet3!I349</f>
        <v>Athina</v>
      </c>
      <c r="D349" s="22"/>
      <c r="E349" s="22" t="s">
        <v>0</v>
      </c>
      <c r="F349" s="22" t="str">
        <f>Sheet3!L349</f>
        <v>Essen</v>
      </c>
      <c r="G349" s="23"/>
      <c r="H349" s="15"/>
    </row>
    <row r="350" spans="2:8" ht="23.25" x14ac:dyDescent="0.35">
      <c r="B350" s="8"/>
      <c r="C350" s="6"/>
      <c r="D350" s="6"/>
      <c r="E350" s="10" t="str">
        <f>"** "&amp;Sheet3!M349&amp;" ** "</f>
        <v xml:space="preserve">**  13 ** </v>
      </c>
      <c r="F350" s="6"/>
      <c r="G350" s="6"/>
      <c r="H350" s="9"/>
    </row>
    <row r="351" spans="2:8" ht="7.5" customHeight="1" x14ac:dyDescent="0.25">
      <c r="B351" s="11"/>
      <c r="C351" s="12"/>
      <c r="D351" s="12"/>
      <c r="E351" s="12"/>
      <c r="F351" s="12"/>
      <c r="G351" s="12"/>
      <c r="H351" s="13"/>
    </row>
    <row r="353" spans="2:8" ht="7.5" customHeight="1" x14ac:dyDescent="0.25">
      <c r="B353" s="3"/>
      <c r="C353" s="4"/>
      <c r="D353" s="4"/>
      <c r="E353" s="4"/>
      <c r="F353" s="4"/>
      <c r="G353" s="4"/>
      <c r="H353" s="5"/>
    </row>
    <row r="354" spans="2:8" ht="30.75" customHeight="1" x14ac:dyDescent="0.25">
      <c r="B354" s="8"/>
      <c r="C354" s="6"/>
      <c r="D354" s="6"/>
      <c r="E354" s="6"/>
      <c r="F354" s="6"/>
      <c r="G354" s="6"/>
      <c r="H354" s="9"/>
    </row>
    <row r="355" spans="2:8" ht="30.75" customHeight="1" x14ac:dyDescent="0.25">
      <c r="B355" s="8"/>
      <c r="C355" s="6"/>
      <c r="D355" s="6"/>
      <c r="E355" s="6"/>
      <c r="F355" s="6"/>
      <c r="G355" s="6"/>
      <c r="H355" s="9"/>
    </row>
    <row r="356" spans="2:8" s="16" customFormat="1" ht="23.25" customHeight="1" x14ac:dyDescent="0.25">
      <c r="B356" s="14"/>
      <c r="C356" s="21" t="str">
        <f>Sheet3!I356</f>
        <v>London</v>
      </c>
      <c r="D356" s="22"/>
      <c r="E356" s="22" t="s">
        <v>0</v>
      </c>
      <c r="F356" s="22" t="str">
        <f>Sheet3!L356</f>
        <v>Paris</v>
      </c>
      <c r="G356" s="23"/>
      <c r="H356" s="15"/>
    </row>
    <row r="357" spans="2:8" ht="23.25" x14ac:dyDescent="0.35">
      <c r="B357" s="8"/>
      <c r="C357" s="6"/>
      <c r="D357" s="6"/>
      <c r="E357" s="10" t="str">
        <f>"** "&amp;Sheet3!M356&amp;" ** "</f>
        <v xml:space="preserve">**  3 ** </v>
      </c>
      <c r="F357" s="6"/>
      <c r="G357" s="6"/>
      <c r="H357" s="9"/>
    </row>
    <row r="358" spans="2:8" ht="7.5" customHeight="1" x14ac:dyDescent="0.25">
      <c r="B358" s="11"/>
      <c r="C358" s="12"/>
      <c r="D358" s="12"/>
      <c r="E358" s="12"/>
      <c r="F358" s="12"/>
      <c r="G358" s="12"/>
      <c r="H358" s="13"/>
    </row>
    <row r="360" spans="2:8" ht="7.5" customHeight="1" x14ac:dyDescent="0.25">
      <c r="B360" s="3"/>
      <c r="C360" s="4"/>
      <c r="D360" s="4"/>
      <c r="E360" s="4"/>
      <c r="F360" s="4"/>
      <c r="G360" s="4"/>
      <c r="H360" s="5"/>
    </row>
    <row r="361" spans="2:8" ht="30.75" customHeight="1" x14ac:dyDescent="0.25">
      <c r="B361" s="8"/>
      <c r="C361" s="6"/>
      <c r="D361" s="6"/>
      <c r="E361" s="6"/>
      <c r="F361" s="6"/>
      <c r="G361" s="6"/>
      <c r="H361" s="9"/>
    </row>
    <row r="362" spans="2:8" ht="30.75" customHeight="1" x14ac:dyDescent="0.25">
      <c r="B362" s="8"/>
      <c r="C362" s="6"/>
      <c r="D362" s="6"/>
      <c r="E362" s="6"/>
      <c r="F362" s="6"/>
      <c r="G362" s="6"/>
      <c r="H362" s="9"/>
    </row>
    <row r="363" spans="2:8" s="16" customFormat="1" ht="23.25" customHeight="1" x14ac:dyDescent="0.25">
      <c r="B363" s="14"/>
      <c r="C363" s="21" t="str">
        <f>Sheet3!I363</f>
        <v>Paris</v>
      </c>
      <c r="D363" s="22"/>
      <c r="E363" s="22" t="s">
        <v>0</v>
      </c>
      <c r="F363" s="22" t="str">
        <f>Sheet3!L363</f>
        <v>Wilno</v>
      </c>
      <c r="G363" s="23"/>
      <c r="H363" s="15"/>
    </row>
    <row r="364" spans="2:8" ht="23.25" x14ac:dyDescent="0.35">
      <c r="B364" s="8"/>
      <c r="C364" s="6"/>
      <c r="D364" s="6"/>
      <c r="E364" s="10" t="str">
        <f>"** "&amp;Sheet3!M363&amp;" ** "</f>
        <v xml:space="preserve">**  13 ** </v>
      </c>
      <c r="F364" s="6"/>
      <c r="G364" s="6"/>
      <c r="H364" s="9"/>
    </row>
    <row r="365" spans="2:8" ht="7.5" customHeight="1" x14ac:dyDescent="0.25">
      <c r="B365" s="11"/>
      <c r="C365" s="12"/>
      <c r="D365" s="12"/>
      <c r="E365" s="12"/>
      <c r="F365" s="12"/>
      <c r="G365" s="12"/>
      <c r="H365" s="13"/>
    </row>
    <row r="367" spans="2:8" ht="7.5" customHeight="1" x14ac:dyDescent="0.25">
      <c r="B367" s="3"/>
      <c r="C367" s="4"/>
      <c r="D367" s="4"/>
      <c r="E367" s="4"/>
      <c r="F367" s="4"/>
      <c r="G367" s="4"/>
      <c r="H367" s="5"/>
    </row>
    <row r="368" spans="2:8" ht="30.75" customHeight="1" x14ac:dyDescent="0.25">
      <c r="B368" s="8"/>
      <c r="C368" s="6"/>
      <c r="D368" s="6"/>
      <c r="E368" s="6"/>
      <c r="F368" s="6"/>
      <c r="G368" s="6"/>
      <c r="H368" s="9"/>
    </row>
    <row r="369" spans="2:8" ht="30.75" customHeight="1" x14ac:dyDescent="0.25">
      <c r="B369" s="8"/>
      <c r="C369" s="6"/>
      <c r="D369" s="6"/>
      <c r="E369" s="6"/>
      <c r="F369" s="6"/>
      <c r="G369" s="6"/>
      <c r="H369" s="9"/>
    </row>
    <row r="370" spans="2:8" s="16" customFormat="1" ht="23.25" customHeight="1" x14ac:dyDescent="0.25">
      <c r="B370" s="14"/>
      <c r="C370" s="21" t="str">
        <f>Sheet3!I370</f>
        <v>Berlin</v>
      </c>
      <c r="D370" s="22"/>
      <c r="E370" s="22" t="s">
        <v>0</v>
      </c>
      <c r="F370" s="22" t="str">
        <f>Sheet3!L370</f>
        <v>Angora</v>
      </c>
      <c r="G370" s="23"/>
      <c r="H370" s="15"/>
    </row>
    <row r="371" spans="2:8" ht="23.25" x14ac:dyDescent="0.35">
      <c r="B371" s="8"/>
      <c r="C371" s="6"/>
      <c r="D371" s="6"/>
      <c r="E371" s="10" t="str">
        <f>"** "&amp;Sheet3!M370&amp;" ** "</f>
        <v xml:space="preserve">**  13 ** </v>
      </c>
      <c r="F371" s="6"/>
      <c r="G371" s="6"/>
      <c r="H371" s="9"/>
    </row>
    <row r="372" spans="2:8" ht="7.5" customHeight="1" x14ac:dyDescent="0.25">
      <c r="B372" s="11"/>
      <c r="C372" s="12"/>
      <c r="D372" s="12"/>
      <c r="E372" s="12"/>
      <c r="F372" s="12"/>
      <c r="G372" s="12"/>
      <c r="H372" s="13"/>
    </row>
    <row r="374" spans="2:8" ht="7.5" customHeight="1" x14ac:dyDescent="0.25">
      <c r="B374" s="3"/>
      <c r="C374" s="4"/>
      <c r="D374" s="4"/>
      <c r="E374" s="4"/>
      <c r="F374" s="4"/>
      <c r="G374" s="4"/>
      <c r="H374" s="5"/>
    </row>
    <row r="375" spans="2:8" ht="30.75" customHeight="1" x14ac:dyDescent="0.25">
      <c r="B375" s="8"/>
      <c r="C375" s="6"/>
      <c r="D375" s="6"/>
      <c r="E375" s="6"/>
      <c r="F375" s="6"/>
      <c r="G375" s="6"/>
      <c r="H375" s="9"/>
    </row>
    <row r="376" spans="2:8" ht="30.75" customHeight="1" x14ac:dyDescent="0.25">
      <c r="B376" s="8"/>
      <c r="C376" s="6"/>
      <c r="D376" s="6"/>
      <c r="E376" s="6"/>
      <c r="F376" s="6"/>
      <c r="G376" s="6"/>
      <c r="H376" s="9"/>
    </row>
    <row r="377" spans="2:8" s="16" customFormat="1" ht="23.25" customHeight="1" x14ac:dyDescent="0.25">
      <c r="B377" s="14"/>
      <c r="C377" s="21" t="str">
        <f>Sheet3!I377</f>
        <v>Wien</v>
      </c>
      <c r="D377" s="22"/>
      <c r="E377" s="22" t="s">
        <v>0</v>
      </c>
      <c r="F377" s="22" t="str">
        <f>Sheet3!L377</f>
        <v>Athina</v>
      </c>
      <c r="G377" s="23"/>
      <c r="H377" s="15"/>
    </row>
    <row r="378" spans="2:8" ht="23.25" x14ac:dyDescent="0.35">
      <c r="B378" s="8"/>
      <c r="C378" s="6"/>
      <c r="D378" s="6"/>
      <c r="E378" s="10" t="str">
        <f>"** "&amp;Sheet3!M377&amp;" ** "</f>
        <v xml:space="preserve">**  8 ** </v>
      </c>
      <c r="F378" s="6"/>
      <c r="G378" s="6"/>
      <c r="H378" s="9"/>
    </row>
    <row r="379" spans="2:8" ht="7.5" customHeight="1" x14ac:dyDescent="0.25">
      <c r="B379" s="11"/>
      <c r="C379" s="12"/>
      <c r="D379" s="12"/>
      <c r="E379" s="12"/>
      <c r="F379" s="12"/>
      <c r="G379" s="12"/>
      <c r="H379" s="13"/>
    </row>
    <row r="381" spans="2:8" ht="7.5" customHeight="1" x14ac:dyDescent="0.25">
      <c r="B381" s="3"/>
      <c r="C381" s="4"/>
      <c r="D381" s="4"/>
      <c r="E381" s="4"/>
      <c r="F381" s="4"/>
      <c r="G381" s="4"/>
      <c r="H381" s="5"/>
    </row>
    <row r="382" spans="2:8" ht="30.75" customHeight="1" x14ac:dyDescent="0.25">
      <c r="B382" s="8"/>
      <c r="C382" s="6"/>
      <c r="D382" s="6"/>
      <c r="E382" s="6"/>
      <c r="F382" s="6"/>
      <c r="G382" s="6"/>
      <c r="H382" s="9"/>
    </row>
    <row r="383" spans="2:8" ht="30.75" customHeight="1" x14ac:dyDescent="0.25">
      <c r="B383" s="8"/>
      <c r="C383" s="6"/>
      <c r="D383" s="6"/>
      <c r="E383" s="6"/>
      <c r="F383" s="6"/>
      <c r="G383" s="6"/>
      <c r="H383" s="9"/>
    </row>
    <row r="384" spans="2:8" s="16" customFormat="1" ht="23.25" customHeight="1" x14ac:dyDescent="0.25">
      <c r="B384" s="14"/>
      <c r="C384" s="21" t="str">
        <f>Sheet3!I384</f>
        <v>Madrid</v>
      </c>
      <c r="D384" s="22"/>
      <c r="E384" s="22" t="s">
        <v>0</v>
      </c>
      <c r="F384" s="22" t="str">
        <f>Sheet3!L384</f>
        <v>Venezia</v>
      </c>
      <c r="G384" s="23"/>
      <c r="H384" s="15"/>
    </row>
    <row r="385" spans="2:8" ht="23.25" x14ac:dyDescent="0.35">
      <c r="B385" s="8"/>
      <c r="C385" s="6"/>
      <c r="D385" s="6"/>
      <c r="E385" s="10" t="str">
        <f>"** "&amp;Sheet3!M384&amp;" ** "</f>
        <v xml:space="preserve">**  10 ** </v>
      </c>
      <c r="F385" s="6"/>
      <c r="G385" s="6"/>
      <c r="H385" s="9"/>
    </row>
    <row r="386" spans="2:8" ht="7.5" customHeight="1" x14ac:dyDescent="0.25">
      <c r="B386" s="11"/>
      <c r="C386" s="12"/>
      <c r="D386" s="12"/>
      <c r="E386" s="12"/>
      <c r="F386" s="12"/>
      <c r="G386" s="12"/>
      <c r="H386" s="13"/>
    </row>
    <row r="388" spans="2:8" ht="7.5" customHeight="1" x14ac:dyDescent="0.25">
      <c r="B388" s="3"/>
      <c r="C388" s="4"/>
      <c r="D388" s="4"/>
      <c r="E388" s="4"/>
      <c r="F388" s="4"/>
      <c r="G388" s="4"/>
      <c r="H388" s="5"/>
    </row>
    <row r="389" spans="2:8" ht="30.75" customHeight="1" x14ac:dyDescent="0.25">
      <c r="B389" s="8"/>
      <c r="C389" s="6"/>
      <c r="D389" s="6"/>
      <c r="E389" s="6"/>
      <c r="F389" s="6"/>
      <c r="G389" s="6"/>
      <c r="H389" s="9"/>
    </row>
    <row r="390" spans="2:8" ht="30.75" customHeight="1" x14ac:dyDescent="0.25">
      <c r="B390" s="8"/>
      <c r="C390" s="6"/>
      <c r="D390" s="6"/>
      <c r="E390" s="6"/>
      <c r="F390" s="6"/>
      <c r="G390" s="6"/>
      <c r="H390" s="9"/>
    </row>
    <row r="391" spans="2:8" s="16" customFormat="1" ht="23.25" customHeight="1" x14ac:dyDescent="0.25">
      <c r="B391" s="14"/>
      <c r="C391" s="21" t="str">
        <f>Sheet3!I391</f>
        <v>Smolensk</v>
      </c>
      <c r="D391" s="22"/>
      <c r="E391" s="22" t="s">
        <v>0</v>
      </c>
      <c r="F391" s="22" t="str">
        <f>Sheet3!L391</f>
        <v>Rostov</v>
      </c>
      <c r="G391" s="23"/>
      <c r="H391" s="15"/>
    </row>
    <row r="392" spans="2:8" ht="23.25" x14ac:dyDescent="0.35">
      <c r="B392" s="8"/>
      <c r="C392" s="6"/>
      <c r="D392" s="6"/>
      <c r="E392" s="10" t="str">
        <f>"** "&amp;Sheet3!M391&amp;" ** "</f>
        <v xml:space="preserve">**  8 ** </v>
      </c>
      <c r="F392" s="6"/>
      <c r="G392" s="6"/>
      <c r="H392" s="9"/>
    </row>
    <row r="393" spans="2:8" ht="7.5" customHeight="1" x14ac:dyDescent="0.25">
      <c r="B393" s="11"/>
      <c r="C393" s="12"/>
      <c r="D393" s="12"/>
      <c r="E393" s="12"/>
      <c r="F393" s="12"/>
      <c r="G393" s="12"/>
      <c r="H393" s="13"/>
    </row>
    <row r="395" spans="2:8" ht="7.5" customHeight="1" x14ac:dyDescent="0.25">
      <c r="B395" s="3"/>
      <c r="C395" s="4"/>
      <c r="D395" s="4"/>
      <c r="E395" s="4"/>
      <c r="F395" s="4"/>
      <c r="G395" s="4"/>
      <c r="H395" s="5"/>
    </row>
    <row r="396" spans="2:8" ht="30.75" customHeight="1" x14ac:dyDescent="0.25">
      <c r="B396" s="8"/>
      <c r="C396" s="6"/>
      <c r="D396" s="6"/>
      <c r="E396" s="6"/>
      <c r="F396" s="6"/>
      <c r="G396" s="6"/>
      <c r="H396" s="9"/>
    </row>
    <row r="397" spans="2:8" ht="30.75" customHeight="1" x14ac:dyDescent="0.25">
      <c r="B397" s="8"/>
      <c r="C397" s="6"/>
      <c r="D397" s="6"/>
      <c r="E397" s="6"/>
      <c r="F397" s="6"/>
      <c r="G397" s="6"/>
      <c r="H397" s="9"/>
    </row>
    <row r="398" spans="2:8" s="16" customFormat="1" ht="23.25" customHeight="1" x14ac:dyDescent="0.25">
      <c r="B398" s="14"/>
      <c r="C398" s="21" t="str">
        <f>Sheet3!I398</f>
        <v>Berlin</v>
      </c>
      <c r="D398" s="22"/>
      <c r="E398" s="22" t="s">
        <v>0</v>
      </c>
      <c r="F398" s="22" t="str">
        <f>Sheet3!L398</f>
        <v>Rostov</v>
      </c>
      <c r="G398" s="23"/>
      <c r="H398" s="15"/>
    </row>
    <row r="399" spans="2:8" ht="23.25" x14ac:dyDescent="0.35">
      <c r="B399" s="8"/>
      <c r="C399" s="6"/>
      <c r="D399" s="6"/>
      <c r="E399" s="10" t="str">
        <f>"** "&amp;Sheet3!M398&amp;" ** "</f>
        <v xml:space="preserve">**  14 ** </v>
      </c>
      <c r="F399" s="6"/>
      <c r="G399" s="6"/>
      <c r="H399" s="9"/>
    </row>
    <row r="400" spans="2:8" ht="7.5" customHeight="1" x14ac:dyDescent="0.25">
      <c r="B400" s="11"/>
      <c r="C400" s="12"/>
      <c r="D400" s="12"/>
      <c r="E400" s="12"/>
      <c r="F400" s="12"/>
      <c r="G400" s="12"/>
      <c r="H400" s="13"/>
    </row>
    <row r="402" spans="2:8" ht="7.5" customHeight="1" x14ac:dyDescent="0.25">
      <c r="B402" s="3"/>
      <c r="C402" s="4"/>
      <c r="D402" s="4"/>
      <c r="E402" s="4"/>
      <c r="F402" s="4"/>
      <c r="G402" s="4"/>
      <c r="H402" s="5"/>
    </row>
    <row r="403" spans="2:8" ht="30.75" customHeight="1" x14ac:dyDescent="0.25">
      <c r="B403" s="8"/>
      <c r="C403" s="6"/>
      <c r="D403" s="6"/>
      <c r="E403" s="6"/>
      <c r="F403" s="6"/>
      <c r="G403" s="6"/>
      <c r="H403" s="9"/>
    </row>
    <row r="404" spans="2:8" ht="30.75" customHeight="1" x14ac:dyDescent="0.25">
      <c r="B404" s="8"/>
      <c r="C404" s="6"/>
      <c r="D404" s="6"/>
      <c r="E404" s="6"/>
      <c r="F404" s="6"/>
      <c r="G404" s="6"/>
      <c r="H404" s="9"/>
    </row>
    <row r="405" spans="2:8" s="16" customFormat="1" ht="23.25" customHeight="1" x14ac:dyDescent="0.25">
      <c r="B405" s="14"/>
      <c r="C405" s="21" t="str">
        <f>Sheet3!I405</f>
        <v>Moskva</v>
      </c>
      <c r="D405" s="22"/>
      <c r="E405" s="22" t="s">
        <v>0</v>
      </c>
      <c r="F405" s="22" t="str">
        <f>Sheet3!L405</f>
        <v>Athina</v>
      </c>
      <c r="G405" s="23"/>
      <c r="H405" s="15"/>
    </row>
    <row r="406" spans="2:8" ht="23.25" x14ac:dyDescent="0.35">
      <c r="B406" s="8"/>
      <c r="C406" s="6"/>
      <c r="D406" s="6"/>
      <c r="E406" s="10" t="str">
        <f>"** "&amp;Sheet3!M405&amp;" ** "</f>
        <v xml:space="preserve">**  14 ** </v>
      </c>
      <c r="F406" s="6"/>
      <c r="G406" s="6"/>
      <c r="H406" s="9"/>
    </row>
    <row r="407" spans="2:8" ht="7.5" customHeight="1" x14ac:dyDescent="0.25">
      <c r="B407" s="11"/>
      <c r="C407" s="12"/>
      <c r="D407" s="12"/>
      <c r="E407" s="12"/>
      <c r="F407" s="12"/>
      <c r="G407" s="12"/>
      <c r="H407" s="13"/>
    </row>
    <row r="409" spans="2:8" ht="7.5" customHeight="1" x14ac:dyDescent="0.25">
      <c r="B409" s="3"/>
      <c r="C409" s="4"/>
      <c r="D409" s="4"/>
      <c r="E409" s="4"/>
      <c r="F409" s="4"/>
      <c r="G409" s="4"/>
      <c r="H409" s="5"/>
    </row>
    <row r="410" spans="2:8" ht="30.75" customHeight="1" x14ac:dyDescent="0.25">
      <c r="B410" s="8"/>
      <c r="C410" s="6"/>
      <c r="D410" s="6"/>
      <c r="E410" s="6"/>
      <c r="F410" s="6"/>
      <c r="G410" s="6"/>
      <c r="H410" s="9"/>
    </row>
    <row r="411" spans="2:8" ht="30.75" customHeight="1" x14ac:dyDescent="0.25">
      <c r="B411" s="8"/>
      <c r="C411" s="6"/>
      <c r="D411" s="6"/>
      <c r="E411" s="6"/>
      <c r="F411" s="6"/>
      <c r="G411" s="6"/>
      <c r="H411" s="9"/>
    </row>
    <row r="412" spans="2:8" s="16" customFormat="1" ht="23.25" customHeight="1" x14ac:dyDescent="0.25">
      <c r="B412" s="14"/>
      <c r="C412" s="21" t="str">
        <f>Sheet3!I412</f>
        <v>Brest</v>
      </c>
      <c r="D412" s="22"/>
      <c r="E412" s="22" t="s">
        <v>0</v>
      </c>
      <c r="F412" s="22" t="str">
        <f>Sheet3!L412</f>
        <v>Frankfurt</v>
      </c>
      <c r="G412" s="23"/>
      <c r="H412" s="15"/>
    </row>
    <row r="413" spans="2:8" ht="23.25" x14ac:dyDescent="0.35">
      <c r="B413" s="8"/>
      <c r="C413" s="6"/>
      <c r="D413" s="6"/>
      <c r="E413" s="10" t="str">
        <f>"** "&amp;Sheet3!M412&amp;" ** "</f>
        <v xml:space="preserve">**  6 ** </v>
      </c>
      <c r="F413" s="6"/>
      <c r="G413" s="6"/>
      <c r="H413" s="9"/>
    </row>
    <row r="414" spans="2:8" ht="7.5" customHeight="1" x14ac:dyDescent="0.25">
      <c r="B414" s="11"/>
      <c r="C414" s="12"/>
      <c r="D414" s="12"/>
      <c r="E414" s="12"/>
      <c r="F414" s="12"/>
      <c r="G414" s="12"/>
      <c r="H414" s="13"/>
    </row>
    <row r="416" spans="2:8" ht="7.5" customHeight="1" x14ac:dyDescent="0.25">
      <c r="B416" s="3"/>
      <c r="C416" s="4"/>
      <c r="D416" s="4"/>
      <c r="E416" s="4"/>
      <c r="F416" s="4"/>
      <c r="G416" s="4"/>
      <c r="H416" s="5"/>
    </row>
    <row r="417" spans="2:8" ht="30.75" customHeight="1" x14ac:dyDescent="0.25">
      <c r="B417" s="8"/>
      <c r="C417" s="6"/>
      <c r="D417" s="6"/>
      <c r="E417" s="6"/>
      <c r="F417" s="6"/>
      <c r="G417" s="6"/>
      <c r="H417" s="9"/>
    </row>
    <row r="418" spans="2:8" ht="30.75" customHeight="1" x14ac:dyDescent="0.25">
      <c r="B418" s="8"/>
      <c r="C418" s="6"/>
      <c r="D418" s="6"/>
      <c r="E418" s="6"/>
      <c r="F418" s="6"/>
      <c r="G418" s="6"/>
      <c r="H418" s="9"/>
    </row>
    <row r="419" spans="2:8" s="16" customFormat="1" ht="23.25" customHeight="1" x14ac:dyDescent="0.25">
      <c r="B419" s="14"/>
      <c r="C419" s="21" t="str">
        <f>Sheet3!I419</f>
        <v>Pamplona</v>
      </c>
      <c r="D419" s="22"/>
      <c r="E419" s="22" t="s">
        <v>0</v>
      </c>
      <c r="F419" s="22" t="str">
        <f>Sheet3!L419</f>
        <v>Stockholm</v>
      </c>
      <c r="G419" s="23"/>
      <c r="H419" s="15"/>
    </row>
    <row r="420" spans="2:8" ht="23.25" x14ac:dyDescent="0.35">
      <c r="B420" s="8"/>
      <c r="C420" s="6"/>
      <c r="D420" s="6"/>
      <c r="E420" s="10" t="str">
        <f>"** "&amp;Sheet3!M419&amp;" ** "</f>
        <v xml:space="preserve">**  15 ** </v>
      </c>
      <c r="F420" s="6"/>
      <c r="G420" s="6"/>
      <c r="H420" s="9"/>
    </row>
    <row r="421" spans="2:8" ht="7.5" customHeight="1" x14ac:dyDescent="0.25">
      <c r="B421" s="11"/>
      <c r="C421" s="12"/>
      <c r="D421" s="12"/>
      <c r="E421" s="12"/>
      <c r="F421" s="12"/>
      <c r="G421" s="12"/>
      <c r="H421" s="13"/>
    </row>
    <row r="423" spans="2:8" ht="7.5" customHeight="1" x14ac:dyDescent="0.25">
      <c r="B423" s="3"/>
      <c r="C423" s="4"/>
      <c r="D423" s="4"/>
      <c r="E423" s="4"/>
      <c r="F423" s="4"/>
      <c r="G423" s="4"/>
      <c r="H423" s="5"/>
    </row>
    <row r="424" spans="2:8" ht="30.75" customHeight="1" x14ac:dyDescent="0.25">
      <c r="B424" s="8"/>
      <c r="C424" s="6"/>
      <c r="D424" s="6"/>
      <c r="E424" s="6"/>
      <c r="F424" s="6"/>
      <c r="G424" s="6"/>
      <c r="H424" s="9"/>
    </row>
    <row r="425" spans="2:8" ht="30.75" customHeight="1" x14ac:dyDescent="0.25">
      <c r="B425" s="8"/>
      <c r="C425" s="6"/>
      <c r="D425" s="6"/>
      <c r="E425" s="6"/>
      <c r="F425" s="6"/>
      <c r="G425" s="6"/>
      <c r="H425" s="9"/>
    </row>
    <row r="426" spans="2:8" s="16" customFormat="1" ht="23.25" customHeight="1" x14ac:dyDescent="0.25">
      <c r="B426" s="14"/>
      <c r="C426" s="21" t="str">
        <f>Sheet3!I426</f>
        <v>Brest</v>
      </c>
      <c r="D426" s="22"/>
      <c r="E426" s="22" t="s">
        <v>0</v>
      </c>
      <c r="F426" s="22" t="str">
        <f>Sheet3!L426</f>
        <v>Marseille</v>
      </c>
      <c r="G426" s="23"/>
      <c r="H426" s="15"/>
    </row>
    <row r="427" spans="2:8" ht="23.25" x14ac:dyDescent="0.35">
      <c r="B427" s="8"/>
      <c r="C427" s="6"/>
      <c r="D427" s="6"/>
      <c r="E427" s="10" t="str">
        <f>"** "&amp;Sheet3!M426&amp;" ** "</f>
        <v xml:space="preserve">**  7 ** </v>
      </c>
      <c r="F427" s="6"/>
      <c r="G427" s="6"/>
      <c r="H427" s="9"/>
    </row>
    <row r="428" spans="2:8" ht="7.5" customHeight="1" x14ac:dyDescent="0.25">
      <c r="B428" s="11"/>
      <c r="C428" s="12"/>
      <c r="D428" s="12"/>
      <c r="E428" s="12"/>
      <c r="F428" s="12"/>
      <c r="G428" s="12"/>
      <c r="H428" s="13"/>
    </row>
    <row r="430" spans="2:8" ht="7.5" customHeight="1" x14ac:dyDescent="0.25">
      <c r="B430" s="3"/>
      <c r="C430" s="4"/>
      <c r="D430" s="4"/>
      <c r="E430" s="4"/>
      <c r="F430" s="4"/>
      <c r="G430" s="4"/>
      <c r="H430" s="5"/>
    </row>
    <row r="431" spans="2:8" ht="30.75" customHeight="1" x14ac:dyDescent="0.25">
      <c r="B431" s="8"/>
      <c r="C431" s="6"/>
      <c r="D431" s="6"/>
      <c r="E431" s="6"/>
      <c r="F431" s="6"/>
      <c r="G431" s="6"/>
      <c r="H431" s="9"/>
    </row>
    <row r="432" spans="2:8" ht="30.75" customHeight="1" x14ac:dyDescent="0.25">
      <c r="B432" s="8"/>
      <c r="C432" s="6"/>
      <c r="D432" s="6"/>
      <c r="E432" s="6"/>
      <c r="F432" s="6"/>
      <c r="G432" s="6"/>
      <c r="H432" s="9"/>
    </row>
    <row r="433" spans="2:8" s="16" customFormat="1" ht="23.25" customHeight="1" x14ac:dyDescent="0.25">
      <c r="B433" s="14"/>
      <c r="C433" s="21" t="str">
        <f>Sheet3!I433</f>
        <v>Moskva</v>
      </c>
      <c r="D433" s="22"/>
      <c r="E433" s="22" t="s">
        <v>0</v>
      </c>
      <c r="F433" s="22" t="str">
        <f>Sheet3!L433</f>
        <v>Kobenhavn</v>
      </c>
      <c r="G433" s="23"/>
      <c r="H433" s="15"/>
    </row>
    <row r="434" spans="2:8" ht="23.25" x14ac:dyDescent="0.35">
      <c r="B434" s="8"/>
      <c r="C434" s="6"/>
      <c r="D434" s="6"/>
      <c r="E434" s="10" t="str">
        <f>"** "&amp;Sheet3!M433&amp;" ** "</f>
        <v xml:space="preserve">**  15 ** </v>
      </c>
      <c r="F434" s="6"/>
      <c r="G434" s="6"/>
      <c r="H434" s="9"/>
    </row>
    <row r="435" spans="2:8" ht="7.5" customHeight="1" x14ac:dyDescent="0.25">
      <c r="B435" s="11"/>
      <c r="C435" s="12"/>
      <c r="D435" s="12"/>
      <c r="E435" s="12"/>
      <c r="F435" s="12"/>
      <c r="G435" s="12"/>
      <c r="H435" s="13"/>
    </row>
    <row r="437" spans="2:8" ht="7.5" customHeight="1" x14ac:dyDescent="0.25">
      <c r="B437" s="3"/>
      <c r="C437" s="4"/>
      <c r="D437" s="4"/>
      <c r="E437" s="4"/>
      <c r="F437" s="4"/>
      <c r="G437" s="4"/>
      <c r="H437" s="5"/>
    </row>
    <row r="438" spans="2:8" ht="30.75" customHeight="1" x14ac:dyDescent="0.25">
      <c r="B438" s="8"/>
      <c r="C438" s="6"/>
      <c r="D438" s="6"/>
      <c r="E438" s="6"/>
      <c r="F438" s="6"/>
      <c r="G438" s="6"/>
      <c r="H438" s="9"/>
    </row>
    <row r="439" spans="2:8" ht="30.75" customHeight="1" x14ac:dyDescent="0.25">
      <c r="B439" s="8"/>
      <c r="C439" s="6"/>
      <c r="D439" s="6"/>
      <c r="E439" s="6"/>
      <c r="F439" s="6"/>
      <c r="G439" s="6"/>
      <c r="H439" s="9"/>
    </row>
    <row r="440" spans="2:8" s="16" customFormat="1" ht="23.25" customHeight="1" x14ac:dyDescent="0.25">
      <c r="B440" s="14"/>
      <c r="C440" s="21" t="str">
        <f>Sheet3!I440</f>
        <v>Edinburgh</v>
      </c>
      <c r="D440" s="22"/>
      <c r="E440" s="22" t="s">
        <v>0</v>
      </c>
      <c r="F440" s="22" t="str">
        <f>Sheet3!L440</f>
        <v>Sarajevo</v>
      </c>
      <c r="G440" s="23"/>
      <c r="H440" s="15"/>
    </row>
    <row r="441" spans="2:8" ht="23.25" x14ac:dyDescent="0.35">
      <c r="B441" s="8"/>
      <c r="C441" s="6"/>
      <c r="D441" s="6"/>
      <c r="E441" s="10" t="str">
        <f>"** "&amp;Sheet3!M440&amp;" ** "</f>
        <v xml:space="preserve">**  17 ** </v>
      </c>
      <c r="F441" s="6"/>
      <c r="G441" s="6"/>
      <c r="H441" s="9"/>
    </row>
    <row r="442" spans="2:8" ht="7.5" customHeight="1" x14ac:dyDescent="0.25">
      <c r="B442" s="11"/>
      <c r="C442" s="12"/>
      <c r="D442" s="12"/>
      <c r="E442" s="12"/>
      <c r="F442" s="12"/>
      <c r="G442" s="12"/>
      <c r="H442" s="13"/>
    </row>
    <row r="444" spans="2:8" ht="7.5" customHeight="1" x14ac:dyDescent="0.25">
      <c r="B444" s="3"/>
      <c r="C444" s="4"/>
      <c r="D444" s="4"/>
      <c r="E444" s="4"/>
      <c r="F444" s="4"/>
      <c r="G444" s="4"/>
      <c r="H444" s="5"/>
    </row>
    <row r="445" spans="2:8" ht="30.75" customHeight="1" x14ac:dyDescent="0.25">
      <c r="B445" s="8"/>
      <c r="C445" s="6"/>
      <c r="D445" s="6"/>
      <c r="E445" s="6"/>
      <c r="F445" s="6"/>
      <c r="G445" s="6"/>
      <c r="H445" s="9"/>
    </row>
    <row r="446" spans="2:8" ht="30.75" customHeight="1" x14ac:dyDescent="0.25">
      <c r="B446" s="8"/>
      <c r="C446" s="6"/>
      <c r="D446" s="6"/>
      <c r="E446" s="6"/>
      <c r="F446" s="6"/>
      <c r="G446" s="6"/>
      <c r="H446" s="9"/>
    </row>
    <row r="447" spans="2:8" s="16" customFormat="1" ht="23.25" customHeight="1" x14ac:dyDescent="0.25">
      <c r="B447" s="14"/>
      <c r="C447" s="21" t="str">
        <f>Sheet3!I447</f>
        <v>Essen</v>
      </c>
      <c r="D447" s="22"/>
      <c r="E447" s="22" t="s">
        <v>0</v>
      </c>
      <c r="F447" s="22" t="str">
        <f>Sheet3!L447</f>
        <v>Lisboa</v>
      </c>
      <c r="G447" s="23"/>
      <c r="H447" s="15"/>
    </row>
    <row r="448" spans="2:8" ht="23.25" x14ac:dyDescent="0.35">
      <c r="B448" s="8"/>
      <c r="C448" s="6"/>
      <c r="D448" s="6"/>
      <c r="E448" s="10" t="str">
        <f>"** "&amp;Sheet3!M447&amp;" ** "</f>
        <v xml:space="preserve">**  15 ** </v>
      </c>
      <c r="F448" s="6"/>
      <c r="G448" s="6"/>
      <c r="H448" s="9"/>
    </row>
    <row r="449" spans="2:8" ht="7.5" customHeight="1" x14ac:dyDescent="0.25">
      <c r="B449" s="11"/>
      <c r="C449" s="12"/>
      <c r="D449" s="12"/>
      <c r="E449" s="12"/>
      <c r="F449" s="12"/>
      <c r="G449" s="12"/>
      <c r="H449" s="13"/>
    </row>
    <row r="451" spans="2:8" ht="7.5" customHeight="1" x14ac:dyDescent="0.25">
      <c r="B451" s="3"/>
      <c r="C451" s="4"/>
      <c r="D451" s="4"/>
      <c r="E451" s="4"/>
      <c r="F451" s="4"/>
      <c r="G451" s="4"/>
      <c r="H451" s="5"/>
    </row>
    <row r="452" spans="2:8" ht="30.75" customHeight="1" x14ac:dyDescent="0.25">
      <c r="B452" s="8"/>
      <c r="C452" s="6"/>
      <c r="D452" s="6"/>
      <c r="E452" s="6"/>
      <c r="F452" s="6"/>
      <c r="G452" s="6"/>
      <c r="H452" s="9"/>
    </row>
    <row r="453" spans="2:8" ht="30.75" customHeight="1" x14ac:dyDescent="0.25">
      <c r="B453" s="8"/>
      <c r="C453" s="6"/>
      <c r="D453" s="6"/>
      <c r="E453" s="6"/>
      <c r="F453" s="6"/>
      <c r="G453" s="6"/>
      <c r="H453" s="9"/>
    </row>
    <row r="454" spans="2:8" s="16" customFormat="1" ht="23.25" customHeight="1" x14ac:dyDescent="0.25">
      <c r="B454" s="14"/>
      <c r="C454" s="21" t="str">
        <f>Sheet3!I454</f>
        <v>Zurich</v>
      </c>
      <c r="D454" s="22"/>
      <c r="E454" s="22" t="s">
        <v>0</v>
      </c>
      <c r="F454" s="22" t="str">
        <f>Sheet3!L454</f>
        <v>Petrograd</v>
      </c>
      <c r="G454" s="23"/>
      <c r="H454" s="15"/>
    </row>
    <row r="455" spans="2:8" ht="23.25" x14ac:dyDescent="0.35">
      <c r="B455" s="8"/>
      <c r="C455" s="6"/>
      <c r="D455" s="6"/>
      <c r="E455" s="10" t="str">
        <f>"** "&amp;Sheet3!M454&amp;" ** "</f>
        <v xml:space="preserve">**  16 ** </v>
      </c>
      <c r="F455" s="6"/>
      <c r="G455" s="6"/>
      <c r="H455" s="9"/>
    </row>
    <row r="456" spans="2:8" ht="7.5" customHeight="1" x14ac:dyDescent="0.25">
      <c r="B456" s="11"/>
      <c r="C456" s="12"/>
      <c r="D456" s="12"/>
      <c r="E456" s="12"/>
      <c r="F456" s="12"/>
      <c r="G456" s="12"/>
      <c r="H456" s="13"/>
    </row>
    <row r="458" spans="2:8" ht="7.5" customHeight="1" x14ac:dyDescent="0.25">
      <c r="B458" s="3"/>
      <c r="C458" s="4"/>
      <c r="D458" s="4"/>
      <c r="E458" s="4"/>
      <c r="F458" s="4"/>
      <c r="G458" s="4"/>
      <c r="H458" s="5"/>
    </row>
    <row r="459" spans="2:8" ht="30.75" customHeight="1" x14ac:dyDescent="0.25">
      <c r="B459" s="8"/>
      <c r="C459" s="6"/>
      <c r="D459" s="6"/>
      <c r="E459" s="6"/>
      <c r="F459" s="6"/>
      <c r="G459" s="6"/>
      <c r="H459" s="9"/>
    </row>
    <row r="460" spans="2:8" ht="30.75" customHeight="1" x14ac:dyDescent="0.25">
      <c r="B460" s="8"/>
      <c r="C460" s="6"/>
      <c r="D460" s="6"/>
      <c r="E460" s="6"/>
      <c r="F460" s="6"/>
      <c r="G460" s="6"/>
      <c r="H460" s="9"/>
    </row>
    <row r="461" spans="2:8" s="16" customFormat="1" ht="23.25" customHeight="1" x14ac:dyDescent="0.25">
      <c r="B461" s="14"/>
      <c r="C461" s="21" t="str">
        <f>Sheet3!I461</f>
        <v>Erzurum</v>
      </c>
      <c r="D461" s="22"/>
      <c r="E461" s="22" t="s">
        <v>0</v>
      </c>
      <c r="F461" s="22" t="str">
        <f>Sheet3!L461</f>
        <v>Berlin</v>
      </c>
      <c r="G461" s="23"/>
      <c r="H461" s="15"/>
    </row>
    <row r="462" spans="2:8" ht="23.25" x14ac:dyDescent="0.35">
      <c r="B462" s="8"/>
      <c r="C462" s="6"/>
      <c r="D462" s="6"/>
      <c r="E462" s="10" t="str">
        <f>"** "&amp;Sheet3!M461&amp;" ** "</f>
        <v xml:space="preserve">**  16 ** </v>
      </c>
      <c r="F462" s="6"/>
      <c r="G462" s="6"/>
      <c r="H462" s="9"/>
    </row>
    <row r="463" spans="2:8" ht="7.5" customHeight="1" x14ac:dyDescent="0.25">
      <c r="B463" s="11"/>
      <c r="C463" s="12"/>
      <c r="D463" s="12"/>
      <c r="E463" s="12"/>
      <c r="F463" s="12"/>
      <c r="G463" s="12"/>
      <c r="H463" s="13"/>
    </row>
    <row r="465" spans="2:8" ht="7.5" customHeight="1" x14ac:dyDescent="0.25">
      <c r="B465" s="3"/>
      <c r="C465" s="4"/>
      <c r="D465" s="4"/>
      <c r="E465" s="4"/>
      <c r="F465" s="4"/>
      <c r="G465" s="4"/>
      <c r="H465" s="5"/>
    </row>
    <row r="466" spans="2:8" ht="30.75" customHeight="1" x14ac:dyDescent="0.25">
      <c r="B466" s="8"/>
      <c r="C466" s="6"/>
      <c r="D466" s="6"/>
      <c r="E466" s="6"/>
      <c r="F466" s="6"/>
      <c r="G466" s="6"/>
      <c r="H466" s="9"/>
    </row>
    <row r="467" spans="2:8" ht="30.75" customHeight="1" x14ac:dyDescent="0.25">
      <c r="B467" s="8"/>
      <c r="C467" s="6"/>
      <c r="D467" s="6"/>
      <c r="E467" s="6"/>
      <c r="F467" s="6"/>
      <c r="G467" s="6"/>
      <c r="H467" s="9"/>
    </row>
    <row r="468" spans="2:8" s="16" customFormat="1" ht="23.25" customHeight="1" x14ac:dyDescent="0.25">
      <c r="B468" s="14"/>
      <c r="C468" s="21" t="str">
        <f>Sheet3!I468</f>
        <v>Venezia</v>
      </c>
      <c r="D468" s="22"/>
      <c r="E468" s="22" t="s">
        <v>0</v>
      </c>
      <c r="F468" s="22" t="str">
        <f>Sheet3!L468</f>
        <v>Brindisi</v>
      </c>
      <c r="G468" s="23"/>
      <c r="H468" s="15"/>
    </row>
    <row r="469" spans="2:8" ht="23.25" x14ac:dyDescent="0.35">
      <c r="B469" s="8"/>
      <c r="C469" s="6"/>
      <c r="D469" s="6"/>
      <c r="E469" s="10" t="str">
        <f>"** "&amp;Sheet3!M468&amp;" ** "</f>
        <v xml:space="preserve">**  4 ** </v>
      </c>
      <c r="F469" s="6"/>
      <c r="G469" s="6"/>
      <c r="H469" s="9"/>
    </row>
    <row r="470" spans="2:8" ht="7.5" customHeight="1" x14ac:dyDescent="0.25">
      <c r="B470" s="11"/>
      <c r="C470" s="12"/>
      <c r="D470" s="12"/>
      <c r="E470" s="12"/>
      <c r="F470" s="12"/>
      <c r="G470" s="12"/>
      <c r="H470" s="13"/>
    </row>
    <row r="472" spans="2:8" ht="7.5" customHeight="1" x14ac:dyDescent="0.25">
      <c r="B472" s="3"/>
      <c r="C472" s="4"/>
      <c r="D472" s="4"/>
      <c r="E472" s="4"/>
      <c r="F472" s="4"/>
      <c r="G472" s="4"/>
      <c r="H472" s="5"/>
    </row>
    <row r="473" spans="2:8" ht="30.75" customHeight="1" x14ac:dyDescent="0.25">
      <c r="B473" s="8"/>
      <c r="C473" s="6"/>
      <c r="D473" s="6"/>
      <c r="E473" s="6"/>
      <c r="F473" s="6"/>
      <c r="G473" s="6"/>
      <c r="H473" s="9"/>
    </row>
    <row r="474" spans="2:8" ht="30.75" customHeight="1" x14ac:dyDescent="0.25">
      <c r="B474" s="8"/>
      <c r="C474" s="6"/>
      <c r="D474" s="6"/>
      <c r="E474" s="6"/>
      <c r="F474" s="6"/>
      <c r="G474" s="6"/>
      <c r="H474" s="9"/>
    </row>
    <row r="475" spans="2:8" s="16" customFormat="1" ht="23.25" customHeight="1" x14ac:dyDescent="0.25">
      <c r="B475" s="14"/>
      <c r="C475" s="21" t="str">
        <f>Sheet3!I475</f>
        <v>Athina</v>
      </c>
      <c r="D475" s="22"/>
      <c r="E475" s="22" t="s">
        <v>0</v>
      </c>
      <c r="F475" s="22" t="str">
        <f>Sheet3!L475</f>
        <v>Brest</v>
      </c>
      <c r="G475" s="23"/>
      <c r="H475" s="15"/>
    </row>
    <row r="476" spans="2:8" ht="23.25" x14ac:dyDescent="0.35">
      <c r="B476" s="8"/>
      <c r="C476" s="6"/>
      <c r="D476" s="6"/>
      <c r="E476" s="10" t="str">
        <f>"** "&amp;Sheet3!M475&amp;" ** "</f>
        <v xml:space="preserve">**  16 ** </v>
      </c>
      <c r="F476" s="6"/>
      <c r="G476" s="6"/>
      <c r="H476" s="9"/>
    </row>
    <row r="477" spans="2:8" ht="7.5" customHeight="1" x14ac:dyDescent="0.25">
      <c r="B477" s="11"/>
      <c r="C477" s="12"/>
      <c r="D477" s="12"/>
      <c r="E477" s="12"/>
      <c r="F477" s="12"/>
      <c r="G477" s="12"/>
      <c r="H477" s="13"/>
    </row>
    <row r="479" spans="2:8" ht="7.5" customHeight="1" x14ac:dyDescent="0.25">
      <c r="B479" s="3"/>
      <c r="C479" s="4"/>
      <c r="D479" s="4"/>
      <c r="E479" s="4"/>
      <c r="F479" s="4"/>
      <c r="G479" s="4"/>
      <c r="H479" s="5"/>
    </row>
    <row r="480" spans="2:8" ht="30.75" customHeight="1" x14ac:dyDescent="0.25">
      <c r="B480" s="8"/>
      <c r="C480" s="6"/>
      <c r="D480" s="6"/>
      <c r="E480" s="6"/>
      <c r="F480" s="6"/>
      <c r="G480" s="6"/>
      <c r="H480" s="9"/>
    </row>
    <row r="481" spans="2:8" ht="30.75" customHeight="1" x14ac:dyDescent="0.25">
      <c r="B481" s="8"/>
      <c r="C481" s="6"/>
      <c r="D481" s="6"/>
      <c r="E481" s="6"/>
      <c r="F481" s="6"/>
      <c r="G481" s="6"/>
      <c r="H481" s="9"/>
    </row>
    <row r="482" spans="2:8" s="16" customFormat="1" ht="23.25" customHeight="1" x14ac:dyDescent="0.25">
      <c r="B482" s="14"/>
      <c r="C482" s="21" t="str">
        <f>Sheet3!I482</f>
        <v>Warszawa</v>
      </c>
      <c r="D482" s="22"/>
      <c r="E482" s="22" t="s">
        <v>0</v>
      </c>
      <c r="F482" s="22" t="str">
        <f>Sheet3!L482</f>
        <v>Madrid</v>
      </c>
      <c r="G482" s="23"/>
      <c r="H482" s="15"/>
    </row>
    <row r="483" spans="2:8" ht="23.25" x14ac:dyDescent="0.35">
      <c r="B483" s="8"/>
      <c r="C483" s="6"/>
      <c r="D483" s="6"/>
      <c r="E483" s="10" t="str">
        <f>"** "&amp;Sheet3!M482&amp;" ** "</f>
        <v xml:space="preserve">**  17 ** </v>
      </c>
      <c r="F483" s="6"/>
      <c r="G483" s="6"/>
      <c r="H483" s="9"/>
    </row>
    <row r="484" spans="2:8" ht="7.5" customHeight="1" x14ac:dyDescent="0.25">
      <c r="B484" s="11"/>
      <c r="C484" s="12"/>
      <c r="D484" s="12"/>
      <c r="E484" s="12"/>
      <c r="F484" s="12"/>
      <c r="G484" s="12"/>
      <c r="H484" s="13"/>
    </row>
    <row r="486" spans="2:8" ht="7.5" customHeight="1" x14ac:dyDescent="0.25">
      <c r="B486" s="3"/>
      <c r="C486" s="4"/>
      <c r="D486" s="4"/>
      <c r="E486" s="4"/>
      <c r="F486" s="4"/>
      <c r="G486" s="4"/>
      <c r="H486" s="5"/>
    </row>
    <row r="487" spans="2:8" ht="30.75" customHeight="1" x14ac:dyDescent="0.25">
      <c r="B487" s="8"/>
      <c r="C487" s="6"/>
      <c r="D487" s="6"/>
      <c r="E487" s="6"/>
      <c r="F487" s="6"/>
      <c r="G487" s="6"/>
      <c r="H487" s="9"/>
    </row>
    <row r="488" spans="2:8" ht="30.75" customHeight="1" x14ac:dyDescent="0.25">
      <c r="B488" s="8"/>
      <c r="C488" s="6"/>
      <c r="D488" s="6"/>
      <c r="E488" s="6"/>
      <c r="F488" s="6"/>
      <c r="G488" s="6"/>
      <c r="H488" s="9"/>
    </row>
    <row r="489" spans="2:8" s="16" customFormat="1" ht="23.25" customHeight="1" x14ac:dyDescent="0.25">
      <c r="B489" s="14"/>
      <c r="C489" s="21" t="str">
        <f>Sheet3!I489</f>
        <v>Amsterdam</v>
      </c>
      <c r="D489" s="22"/>
      <c r="E489" s="22" t="s">
        <v>0</v>
      </c>
      <c r="F489" s="22" t="str">
        <f>Sheet3!L489</f>
        <v>Kharkov</v>
      </c>
      <c r="G489" s="23"/>
      <c r="H489" s="15"/>
    </row>
    <row r="490" spans="2:8" ht="23.25" x14ac:dyDescent="0.35">
      <c r="B490" s="8"/>
      <c r="C490" s="6"/>
      <c r="D490" s="6"/>
      <c r="E490" s="10" t="str">
        <f>"** "&amp;Sheet3!M489&amp;" ** "</f>
        <v xml:space="preserve">**  17 ** </v>
      </c>
      <c r="F490" s="6"/>
      <c r="G490" s="6"/>
      <c r="H490" s="9"/>
    </row>
    <row r="491" spans="2:8" ht="7.5" customHeight="1" x14ac:dyDescent="0.25">
      <c r="B491" s="11"/>
      <c r="C491" s="12"/>
      <c r="D491" s="12"/>
      <c r="E491" s="12"/>
      <c r="F491" s="12"/>
      <c r="G491" s="12"/>
      <c r="H491" s="13"/>
    </row>
    <row r="493" spans="2:8" ht="7.5" customHeight="1" x14ac:dyDescent="0.25">
      <c r="B493" s="3"/>
      <c r="C493" s="4"/>
      <c r="D493" s="4"/>
      <c r="E493" s="4"/>
      <c r="F493" s="4"/>
      <c r="G493" s="4"/>
      <c r="H493" s="5"/>
    </row>
    <row r="494" spans="2:8" ht="30.75" customHeight="1" x14ac:dyDescent="0.25">
      <c r="B494" s="8"/>
      <c r="C494" s="6"/>
      <c r="D494" s="6"/>
      <c r="E494" s="6"/>
      <c r="F494" s="6"/>
      <c r="G494" s="6"/>
      <c r="H494" s="9"/>
    </row>
    <row r="495" spans="2:8" ht="30.75" customHeight="1" x14ac:dyDescent="0.25">
      <c r="B495" s="8"/>
      <c r="C495" s="6"/>
      <c r="D495" s="6"/>
      <c r="E495" s="6"/>
      <c r="F495" s="6"/>
      <c r="G495" s="6"/>
      <c r="H495" s="9"/>
    </row>
    <row r="496" spans="2:8" s="16" customFormat="1" ht="23.25" customHeight="1" x14ac:dyDescent="0.25">
      <c r="B496" s="14"/>
      <c r="C496" s="21" t="str">
        <f>Sheet3!I496</f>
        <v>Angora</v>
      </c>
      <c r="D496" s="22"/>
      <c r="E496" s="22" t="s">
        <v>0</v>
      </c>
      <c r="F496" s="22" t="str">
        <f>Sheet3!L496</f>
        <v>Bruxelles</v>
      </c>
      <c r="G496" s="23"/>
      <c r="H496" s="15"/>
    </row>
    <row r="497" spans="2:8" ht="23.25" x14ac:dyDescent="0.35">
      <c r="B497" s="8"/>
      <c r="C497" s="6"/>
      <c r="D497" s="6"/>
      <c r="E497" s="10" t="str">
        <f>"** "&amp;Sheet3!M496&amp;" ** "</f>
        <v xml:space="preserve">**  17 ** </v>
      </c>
      <c r="F497" s="6"/>
      <c r="G497" s="6"/>
      <c r="H497" s="9"/>
    </row>
    <row r="498" spans="2:8" ht="7.5" customHeight="1" x14ac:dyDescent="0.25">
      <c r="B498" s="11"/>
      <c r="C498" s="12"/>
      <c r="D498" s="12"/>
      <c r="E498" s="12"/>
      <c r="F498" s="12"/>
      <c r="G498" s="12"/>
      <c r="H498" s="13"/>
    </row>
    <row r="500" spans="2:8" ht="7.5" customHeight="1" x14ac:dyDescent="0.25">
      <c r="B500" s="3"/>
      <c r="C500" s="4"/>
      <c r="D500" s="4"/>
      <c r="E500" s="4"/>
      <c r="F500" s="4"/>
      <c r="G500" s="4"/>
      <c r="H500" s="5"/>
    </row>
    <row r="501" spans="2:8" ht="30.75" customHeight="1" x14ac:dyDescent="0.25">
      <c r="B501" s="8"/>
      <c r="C501" s="6"/>
      <c r="D501" s="6"/>
      <c r="E501" s="6"/>
      <c r="F501" s="6"/>
      <c r="G501" s="6"/>
      <c r="H501" s="9"/>
    </row>
    <row r="502" spans="2:8" ht="30.75" customHeight="1" x14ac:dyDescent="0.25">
      <c r="B502" s="8"/>
      <c r="C502" s="6"/>
      <c r="D502" s="6"/>
      <c r="E502" s="6"/>
      <c r="F502" s="6"/>
      <c r="G502" s="6"/>
      <c r="H502" s="9"/>
    </row>
    <row r="503" spans="2:8" s="16" customFormat="1" ht="23.25" customHeight="1" x14ac:dyDescent="0.25">
      <c r="B503" s="14"/>
      <c r="C503" s="21" t="str">
        <f>Sheet3!I503</f>
        <v>Angora</v>
      </c>
      <c r="D503" s="22"/>
      <c r="E503" s="22" t="s">
        <v>0</v>
      </c>
      <c r="F503" s="22" t="str">
        <f>Sheet3!L503</f>
        <v>Paris</v>
      </c>
      <c r="G503" s="23"/>
      <c r="H503" s="15"/>
    </row>
    <row r="504" spans="2:8" ht="23.25" x14ac:dyDescent="0.35">
      <c r="B504" s="8"/>
      <c r="C504" s="6"/>
      <c r="D504" s="6"/>
      <c r="E504" s="10" t="str">
        <f>"** "&amp;Sheet3!M503&amp;" ** "</f>
        <v xml:space="preserve">**  17 ** </v>
      </c>
      <c r="F504" s="6"/>
      <c r="G504" s="6"/>
      <c r="H504" s="9"/>
    </row>
    <row r="505" spans="2:8" ht="7.5" customHeight="1" x14ac:dyDescent="0.25">
      <c r="B505" s="11"/>
      <c r="C505" s="12"/>
      <c r="D505" s="12"/>
      <c r="E505" s="12"/>
      <c r="F505" s="12"/>
      <c r="G505" s="12"/>
      <c r="H505" s="13"/>
    </row>
    <row r="507" spans="2:8" ht="7.5" customHeight="1" x14ac:dyDescent="0.25">
      <c r="B507" s="3"/>
      <c r="C507" s="4"/>
      <c r="D507" s="4"/>
      <c r="E507" s="4"/>
      <c r="F507" s="4"/>
      <c r="G507" s="4"/>
      <c r="H507" s="5"/>
    </row>
    <row r="508" spans="2:8" ht="30.75" customHeight="1" x14ac:dyDescent="0.25">
      <c r="B508" s="8"/>
      <c r="C508" s="6"/>
      <c r="D508" s="6"/>
      <c r="E508" s="6"/>
      <c r="F508" s="6"/>
      <c r="G508" s="6"/>
      <c r="H508" s="9"/>
    </row>
    <row r="509" spans="2:8" ht="30.75" customHeight="1" x14ac:dyDescent="0.25">
      <c r="B509" s="8"/>
      <c r="C509" s="6"/>
      <c r="D509" s="6"/>
      <c r="E509" s="6"/>
      <c r="F509" s="6"/>
      <c r="G509" s="6"/>
      <c r="H509" s="9"/>
    </row>
    <row r="510" spans="2:8" s="16" customFormat="1" ht="23.25" customHeight="1" x14ac:dyDescent="0.25">
      <c r="B510" s="14"/>
      <c r="C510" s="21" t="str">
        <f>Sheet3!I510</f>
        <v>Bucuresti</v>
      </c>
      <c r="D510" s="22"/>
      <c r="E510" s="22" t="s">
        <v>0</v>
      </c>
      <c r="F510" s="22" t="str">
        <f>Sheet3!L510</f>
        <v>Edinburgh</v>
      </c>
      <c r="G510" s="23"/>
      <c r="H510" s="15"/>
    </row>
    <row r="511" spans="2:8" ht="23.25" x14ac:dyDescent="0.35">
      <c r="B511" s="8"/>
      <c r="C511" s="6"/>
      <c r="D511" s="6"/>
      <c r="E511" s="10" t="str">
        <f>"** "&amp;Sheet3!M510&amp;" ** "</f>
        <v xml:space="preserve">**  18 ** </v>
      </c>
      <c r="F511" s="6"/>
      <c r="G511" s="6"/>
      <c r="H511" s="9"/>
    </row>
    <row r="512" spans="2:8" ht="7.5" customHeight="1" x14ac:dyDescent="0.25">
      <c r="B512" s="11"/>
      <c r="C512" s="12"/>
      <c r="D512" s="12"/>
      <c r="E512" s="12"/>
      <c r="F512" s="12"/>
      <c r="G512" s="12"/>
      <c r="H512" s="13"/>
    </row>
    <row r="514" spans="2:8" ht="7.5" customHeight="1" x14ac:dyDescent="0.25">
      <c r="B514" s="3"/>
      <c r="C514" s="4"/>
      <c r="D514" s="4"/>
      <c r="E514" s="4"/>
      <c r="F514" s="4"/>
      <c r="G514" s="4"/>
      <c r="H514" s="5"/>
    </row>
    <row r="515" spans="2:8" ht="30.75" customHeight="1" x14ac:dyDescent="0.25">
      <c r="B515" s="8"/>
      <c r="C515" s="6"/>
      <c r="D515" s="6"/>
      <c r="E515" s="6"/>
      <c r="F515" s="6"/>
      <c r="G515" s="6"/>
      <c r="H515" s="9"/>
    </row>
    <row r="516" spans="2:8" ht="30.75" customHeight="1" x14ac:dyDescent="0.25">
      <c r="B516" s="8"/>
      <c r="C516" s="6"/>
      <c r="D516" s="6"/>
      <c r="E516" s="6"/>
      <c r="F516" s="6"/>
      <c r="G516" s="6"/>
      <c r="H516" s="9"/>
    </row>
    <row r="517" spans="2:8" s="16" customFormat="1" ht="23.25" customHeight="1" x14ac:dyDescent="0.25">
      <c r="B517" s="14"/>
      <c r="C517" s="21" t="str">
        <f>Sheet3!I517</f>
        <v>London</v>
      </c>
      <c r="D517" s="22"/>
      <c r="E517" s="22" t="s">
        <v>0</v>
      </c>
      <c r="F517" s="22" t="str">
        <f>Sheet3!L517</f>
        <v>Smyrna</v>
      </c>
      <c r="G517" s="23"/>
      <c r="H517" s="15"/>
    </row>
    <row r="518" spans="2:8" ht="23.25" x14ac:dyDescent="0.35">
      <c r="B518" s="8"/>
      <c r="C518" s="6"/>
      <c r="D518" s="6"/>
      <c r="E518" s="10" t="str">
        <f>"** "&amp;Sheet3!M517&amp;" ** "</f>
        <v xml:space="preserve">**  18 ** </v>
      </c>
      <c r="F518" s="6"/>
      <c r="G518" s="6"/>
      <c r="H518" s="9"/>
    </row>
    <row r="519" spans="2:8" ht="7.5" customHeight="1" x14ac:dyDescent="0.25">
      <c r="B519" s="11"/>
      <c r="C519" s="12"/>
      <c r="D519" s="12"/>
      <c r="E519" s="12"/>
      <c r="F519" s="12"/>
      <c r="G519" s="12"/>
      <c r="H519" s="13"/>
    </row>
    <row r="521" spans="2:8" ht="7.5" customHeight="1" x14ac:dyDescent="0.25">
      <c r="B521" s="3"/>
      <c r="C521" s="4"/>
      <c r="D521" s="4"/>
      <c r="E521" s="4"/>
      <c r="F521" s="4"/>
      <c r="G521" s="4"/>
      <c r="H521" s="5"/>
    </row>
    <row r="522" spans="2:8" ht="30.75" customHeight="1" x14ac:dyDescent="0.25">
      <c r="B522" s="8"/>
      <c r="C522" s="6"/>
      <c r="D522" s="6"/>
      <c r="E522" s="6"/>
      <c r="F522" s="6"/>
      <c r="G522" s="6"/>
      <c r="H522" s="9"/>
    </row>
    <row r="523" spans="2:8" ht="30.75" customHeight="1" x14ac:dyDescent="0.25">
      <c r="B523" s="8"/>
      <c r="C523" s="6"/>
      <c r="D523" s="6"/>
      <c r="E523" s="6"/>
      <c r="F523" s="6"/>
      <c r="G523" s="6"/>
      <c r="H523" s="9"/>
    </row>
    <row r="524" spans="2:8" s="16" customFormat="1" ht="23.25" customHeight="1" x14ac:dyDescent="0.25">
      <c r="B524" s="14"/>
      <c r="C524" s="21" t="str">
        <f>Sheet3!I524</f>
        <v>Dieppe</v>
      </c>
      <c r="D524" s="22"/>
      <c r="E524" s="22" t="s">
        <v>0</v>
      </c>
      <c r="F524" s="22" t="str">
        <f>Sheet3!L524</f>
        <v>Petrograd</v>
      </c>
      <c r="G524" s="23"/>
      <c r="H524" s="15"/>
    </row>
    <row r="525" spans="2:8" ht="23.25" x14ac:dyDescent="0.35">
      <c r="B525" s="8"/>
      <c r="C525" s="6"/>
      <c r="D525" s="6"/>
      <c r="E525" s="10" t="str">
        <f>"** "&amp;Sheet3!M524&amp;" ** "</f>
        <v xml:space="preserve">**  18 ** </v>
      </c>
      <c r="F525" s="6"/>
      <c r="G525" s="6"/>
      <c r="H525" s="9"/>
    </row>
    <row r="526" spans="2:8" ht="7.5" customHeight="1" x14ac:dyDescent="0.25">
      <c r="B526" s="11"/>
      <c r="C526" s="12"/>
      <c r="D526" s="12"/>
      <c r="E526" s="12"/>
      <c r="F526" s="12"/>
      <c r="G526" s="12"/>
      <c r="H526" s="13"/>
    </row>
    <row r="528" spans="2:8" ht="7.5" customHeight="1" x14ac:dyDescent="0.25">
      <c r="B528" s="3"/>
      <c r="C528" s="4"/>
      <c r="D528" s="4"/>
      <c r="E528" s="4"/>
      <c r="F528" s="4"/>
      <c r="G528" s="4"/>
      <c r="H528" s="5"/>
    </row>
    <row r="529" spans="2:8" ht="30.75" customHeight="1" x14ac:dyDescent="0.25">
      <c r="B529" s="8"/>
      <c r="C529" s="6"/>
      <c r="D529" s="6"/>
      <c r="E529" s="6"/>
      <c r="F529" s="6"/>
      <c r="G529" s="6"/>
      <c r="H529" s="9"/>
    </row>
    <row r="530" spans="2:8" ht="30.75" customHeight="1" x14ac:dyDescent="0.25">
      <c r="B530" s="8"/>
      <c r="C530" s="6"/>
      <c r="D530" s="6"/>
      <c r="E530" s="6"/>
      <c r="F530" s="6"/>
      <c r="G530" s="6"/>
      <c r="H530" s="9"/>
    </row>
    <row r="531" spans="2:8" s="16" customFormat="1" ht="23.25" customHeight="1" x14ac:dyDescent="0.25">
      <c r="B531" s="14"/>
      <c r="C531" s="21" t="str">
        <f>Sheet3!I531</f>
        <v>Paris</v>
      </c>
      <c r="D531" s="22"/>
      <c r="E531" s="22" t="s">
        <v>0</v>
      </c>
      <c r="F531" s="22" t="str">
        <f>Sheet3!L531</f>
        <v>Moskva</v>
      </c>
      <c r="G531" s="23"/>
      <c r="H531" s="15"/>
    </row>
    <row r="532" spans="2:8" ht="23.25" x14ac:dyDescent="0.35">
      <c r="B532" s="8"/>
      <c r="C532" s="6"/>
      <c r="D532" s="6"/>
      <c r="E532" s="10" t="str">
        <f>"** "&amp;Sheet3!M531&amp;" ** "</f>
        <v xml:space="preserve">**  18 ** </v>
      </c>
      <c r="F532" s="6"/>
      <c r="G532" s="6"/>
      <c r="H532" s="9"/>
    </row>
    <row r="533" spans="2:8" ht="7.5" customHeight="1" x14ac:dyDescent="0.25">
      <c r="B533" s="11"/>
      <c r="C533" s="12"/>
      <c r="D533" s="12"/>
      <c r="E533" s="12"/>
      <c r="F533" s="12"/>
      <c r="G533" s="12"/>
      <c r="H533" s="13"/>
    </row>
    <row r="535" spans="2:8" ht="7.5" customHeight="1" x14ac:dyDescent="0.25">
      <c r="B535" s="3"/>
      <c r="C535" s="4"/>
      <c r="D535" s="4"/>
      <c r="E535" s="4"/>
      <c r="F535" s="4"/>
      <c r="G535" s="4"/>
      <c r="H535" s="5"/>
    </row>
    <row r="536" spans="2:8" ht="30.75" customHeight="1" x14ac:dyDescent="0.25">
      <c r="B536" s="8"/>
      <c r="C536" s="6"/>
      <c r="D536" s="6"/>
      <c r="E536" s="6"/>
      <c r="F536" s="6"/>
      <c r="G536" s="6"/>
      <c r="H536" s="9"/>
    </row>
    <row r="537" spans="2:8" ht="30.75" customHeight="1" x14ac:dyDescent="0.25">
      <c r="B537" s="8"/>
      <c r="C537" s="6"/>
      <c r="D537" s="6"/>
      <c r="E537" s="6"/>
      <c r="F537" s="6"/>
      <c r="G537" s="6"/>
      <c r="H537" s="9"/>
    </row>
    <row r="538" spans="2:8" s="16" customFormat="1" ht="23.25" customHeight="1" x14ac:dyDescent="0.25">
      <c r="B538" s="14"/>
      <c r="C538" s="21" t="str">
        <f>Sheet3!I538</f>
        <v>Madrid</v>
      </c>
      <c r="D538" s="22"/>
      <c r="E538" s="22" t="s">
        <v>0</v>
      </c>
      <c r="F538" s="22" t="str">
        <f>Sheet3!L538</f>
        <v>Constantinople</v>
      </c>
      <c r="G538" s="23"/>
      <c r="H538" s="15"/>
    </row>
    <row r="539" spans="2:8" ht="23.25" x14ac:dyDescent="0.35">
      <c r="B539" s="8"/>
      <c r="C539" s="6"/>
      <c r="D539" s="6"/>
      <c r="E539" s="10" t="str">
        <f>"** "&amp;Sheet3!M538&amp;" ** "</f>
        <v xml:space="preserve">**  20 ** </v>
      </c>
      <c r="F539" s="6"/>
      <c r="G539" s="6"/>
      <c r="H539" s="9"/>
    </row>
    <row r="540" spans="2:8" ht="7.5" customHeight="1" x14ac:dyDescent="0.25">
      <c r="B540" s="11"/>
      <c r="C540" s="12"/>
      <c r="D540" s="12"/>
      <c r="E540" s="12"/>
      <c r="F540" s="12"/>
      <c r="G540" s="12"/>
      <c r="H540" s="13"/>
    </row>
    <row r="542" spans="2:8" ht="7.5" customHeight="1" x14ac:dyDescent="0.25">
      <c r="B542" s="3"/>
      <c r="C542" s="4"/>
      <c r="D542" s="4"/>
      <c r="E542" s="4"/>
      <c r="F542" s="4"/>
      <c r="G542" s="4"/>
      <c r="H542" s="5"/>
    </row>
    <row r="543" spans="2:8" ht="30.75" customHeight="1" x14ac:dyDescent="0.25">
      <c r="B543" s="8"/>
      <c r="C543" s="6"/>
      <c r="D543" s="6"/>
      <c r="E543" s="6"/>
      <c r="F543" s="6"/>
      <c r="G543" s="6"/>
      <c r="H543" s="9"/>
    </row>
    <row r="544" spans="2:8" ht="30.75" customHeight="1" x14ac:dyDescent="0.25">
      <c r="B544" s="8"/>
      <c r="C544" s="6"/>
      <c r="D544" s="6"/>
      <c r="E544" s="6"/>
      <c r="F544" s="6"/>
      <c r="G544" s="6"/>
      <c r="H544" s="9"/>
    </row>
    <row r="545" spans="2:8" s="16" customFormat="1" ht="23.25" customHeight="1" x14ac:dyDescent="0.25">
      <c r="B545" s="14"/>
      <c r="C545" s="21" t="str">
        <f>Sheet3!I545</f>
        <v>Erzurum</v>
      </c>
      <c r="D545" s="22"/>
      <c r="E545" s="22" t="s">
        <v>0</v>
      </c>
      <c r="F545" s="22" t="str">
        <f>Sheet3!L545</f>
        <v>Paris</v>
      </c>
      <c r="G545" s="23"/>
      <c r="H545" s="15"/>
    </row>
    <row r="546" spans="2:8" ht="23.25" x14ac:dyDescent="0.35">
      <c r="B546" s="8"/>
      <c r="C546" s="6"/>
      <c r="D546" s="6"/>
      <c r="E546" s="10" t="str">
        <f>"** "&amp;Sheet3!M545&amp;" ** "</f>
        <v xml:space="preserve">**  20 ** </v>
      </c>
      <c r="F546" s="6"/>
      <c r="G546" s="6"/>
      <c r="H546" s="9"/>
    </row>
    <row r="547" spans="2:8" ht="7.5" customHeight="1" x14ac:dyDescent="0.25">
      <c r="B547" s="11"/>
      <c r="C547" s="12"/>
      <c r="D547" s="12"/>
      <c r="E547" s="12"/>
      <c r="F547" s="12"/>
      <c r="G547" s="12"/>
      <c r="H547" s="13"/>
    </row>
    <row r="549" spans="2:8" ht="7.5" customHeight="1" x14ac:dyDescent="0.25">
      <c r="B549" s="3"/>
      <c r="C549" s="4"/>
      <c r="D549" s="4"/>
      <c r="E549" s="4"/>
      <c r="F549" s="4"/>
      <c r="G549" s="4"/>
      <c r="H549" s="5"/>
    </row>
    <row r="550" spans="2:8" ht="30.75" customHeight="1" x14ac:dyDescent="0.25">
      <c r="B550" s="8"/>
      <c r="C550" s="6"/>
      <c r="D550" s="6"/>
      <c r="E550" s="6"/>
      <c r="F550" s="6"/>
      <c r="G550" s="6"/>
      <c r="H550" s="9"/>
    </row>
    <row r="551" spans="2:8" ht="30.75" customHeight="1" x14ac:dyDescent="0.25">
      <c r="B551" s="8"/>
      <c r="C551" s="6"/>
      <c r="D551" s="6"/>
      <c r="E551" s="6"/>
      <c r="F551" s="6"/>
      <c r="G551" s="6"/>
      <c r="H551" s="9"/>
    </row>
    <row r="552" spans="2:8" s="16" customFormat="1" ht="23.25" customHeight="1" x14ac:dyDescent="0.25">
      <c r="B552" s="14"/>
      <c r="C552" s="21" t="str">
        <f>Sheet3!I552</f>
        <v>Cadiz</v>
      </c>
      <c r="D552" s="22"/>
      <c r="E552" s="22" t="s">
        <v>0</v>
      </c>
      <c r="F552" s="22" t="str">
        <f>Sheet3!L552</f>
        <v>Smyrna</v>
      </c>
      <c r="G552" s="23"/>
      <c r="H552" s="15"/>
    </row>
    <row r="553" spans="2:8" ht="23.25" x14ac:dyDescent="0.35">
      <c r="B553" s="8"/>
      <c r="C553" s="6"/>
      <c r="D553" s="6"/>
      <c r="E553" s="10" t="str">
        <f>"** "&amp;Sheet3!M552&amp;" ** "</f>
        <v xml:space="preserve">**  21 ** </v>
      </c>
      <c r="F553" s="6"/>
      <c r="G553" s="6"/>
      <c r="H553" s="9"/>
    </row>
    <row r="554" spans="2:8" ht="7.5" customHeight="1" x14ac:dyDescent="0.25">
      <c r="B554" s="11"/>
      <c r="C554" s="12"/>
      <c r="D554" s="12"/>
      <c r="E554" s="12"/>
      <c r="F554" s="12"/>
      <c r="G554" s="12"/>
      <c r="H554" s="13"/>
    </row>
    <row r="556" spans="2:8" ht="7.5" customHeight="1" x14ac:dyDescent="0.25">
      <c r="B556" s="3"/>
      <c r="C556" s="4"/>
      <c r="D556" s="4"/>
      <c r="E556" s="4"/>
      <c r="F556" s="4"/>
      <c r="G556" s="4"/>
      <c r="H556" s="5"/>
    </row>
    <row r="557" spans="2:8" ht="30.75" customHeight="1" x14ac:dyDescent="0.25">
      <c r="B557" s="8"/>
      <c r="C557" s="6"/>
      <c r="D557" s="6"/>
      <c r="E557" s="6"/>
      <c r="F557" s="6"/>
      <c r="G557" s="6"/>
      <c r="H557" s="9"/>
    </row>
    <row r="558" spans="2:8" ht="30.75" customHeight="1" x14ac:dyDescent="0.25">
      <c r="B558" s="8"/>
      <c r="C558" s="6"/>
      <c r="D558" s="6"/>
      <c r="E558" s="6"/>
      <c r="F558" s="6"/>
      <c r="G558" s="6"/>
      <c r="H558" s="9"/>
    </row>
    <row r="559" spans="2:8" s="16" customFormat="1" ht="23.25" customHeight="1" x14ac:dyDescent="0.25">
      <c r="B559" s="14"/>
      <c r="C559" s="21" t="str">
        <f>Sheet3!I559</f>
        <v>Sochi</v>
      </c>
      <c r="D559" s="22"/>
      <c r="E559" s="22" t="s">
        <v>0</v>
      </c>
      <c r="F559" s="22" t="str">
        <f>Sheet3!L559</f>
        <v>Barcelona</v>
      </c>
      <c r="G559" s="23"/>
      <c r="H559" s="15"/>
    </row>
    <row r="560" spans="2:8" ht="23.25" x14ac:dyDescent="0.35">
      <c r="B560" s="8"/>
      <c r="C560" s="6"/>
      <c r="D560" s="6"/>
      <c r="E560" s="10" t="str">
        <f>"** "&amp;Sheet3!M559&amp;" ** "</f>
        <v xml:space="preserve">**  22 ** </v>
      </c>
      <c r="F560" s="6"/>
      <c r="G560" s="6"/>
      <c r="H560" s="9"/>
    </row>
    <row r="561" spans="2:8" ht="7.5" customHeight="1" x14ac:dyDescent="0.25">
      <c r="B561" s="11"/>
      <c r="C561" s="12"/>
      <c r="D561" s="12"/>
      <c r="E561" s="12"/>
      <c r="F561" s="12"/>
      <c r="G561" s="12"/>
      <c r="H561" s="13"/>
    </row>
  </sheetData>
  <pageMargins left="0.7" right="0.7" top="0.75" bottom="0.75" header="0.3" footer="0.3"/>
  <pageSetup orientation="portrait" horizontalDpi="0" verticalDpi="0" r:id="rId1"/>
  <rowBreaks count="15" manualBreakCount="15">
    <brk id="37" max="8" man="1"/>
    <brk id="72" max="8" man="1"/>
    <brk id="107" max="8" man="1"/>
    <brk id="142" max="8" man="1"/>
    <brk id="177" max="8" man="1"/>
    <brk id="212" max="8" man="1"/>
    <brk id="247" max="8" man="1"/>
    <brk id="282" max="8" man="1"/>
    <brk id="317" max="8" man="1"/>
    <brk id="352" max="8" man="1"/>
    <brk id="387" max="8" man="1"/>
    <brk id="422" max="8" man="1"/>
    <brk id="457" max="8" man="1"/>
    <brk id="492" max="8" man="1"/>
    <brk id="527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9B83D-8144-4946-B08D-945712316739}">
  <sheetPr codeName="Sheet3"/>
  <dimension ref="D5:M559"/>
  <sheetViews>
    <sheetView workbookViewId="0">
      <selection activeCell="F471" sqref="F471"/>
    </sheetView>
  </sheetViews>
  <sheetFormatPr defaultRowHeight="15" x14ac:dyDescent="0.25"/>
  <cols>
    <col min="4" max="4" width="39.5703125" bestFit="1" customWidth="1"/>
    <col min="5" max="5" width="3" bestFit="1" customWidth="1"/>
    <col min="6" max="6" width="27.140625" bestFit="1" customWidth="1"/>
    <col min="7" max="7" width="15.7109375" bestFit="1" customWidth="1"/>
    <col min="8" max="8" width="6.140625" bestFit="1" customWidth="1"/>
    <col min="9" max="9" width="11.28515625" bestFit="1" customWidth="1"/>
    <col min="10" max="10" width="17.85546875" bestFit="1" customWidth="1"/>
    <col min="11" max="11" width="10.7109375" bestFit="1" customWidth="1"/>
    <col min="12" max="12" width="14.7109375" bestFit="1" customWidth="1"/>
    <col min="13" max="13" width="6.5703125" bestFit="1" customWidth="1"/>
  </cols>
  <sheetData>
    <row r="5" spans="4:13" x14ac:dyDescent="0.25">
      <c r="D5" s="17" t="s">
        <v>70</v>
      </c>
      <c r="E5" s="18" t="s">
        <v>75</v>
      </c>
      <c r="F5" s="18" t="s">
        <v>71</v>
      </c>
      <c r="G5" s="18" t="s">
        <v>76</v>
      </c>
      <c r="H5" s="18" t="s">
        <v>77</v>
      </c>
      <c r="I5" s="19" t="s">
        <v>72</v>
      </c>
      <c r="J5" s="18" t="s">
        <v>78</v>
      </c>
      <c r="K5" s="18" t="s">
        <v>79</v>
      </c>
      <c r="L5" s="19" t="s">
        <v>73</v>
      </c>
      <c r="M5" s="20" t="s">
        <v>74</v>
      </c>
    </row>
    <row r="6" spans="4:13" x14ac:dyDescent="0.25">
      <c r="D6" t="s">
        <v>1</v>
      </c>
      <c r="E6" s="2">
        <v>1</v>
      </c>
      <c r="F6" t="str">
        <f>SUBSTITUTE(D6, "          (big city)", "")</f>
        <v>Zagrab to Munchen: 4</v>
      </c>
      <c r="G6" s="2">
        <f>FIND(" to ", F6)</f>
        <v>7</v>
      </c>
      <c r="H6" s="2">
        <f>FIND(":", F6)</f>
        <v>18</v>
      </c>
      <c r="I6" t="str">
        <f>LEFT(F6, G6-1)</f>
        <v>Zagrab</v>
      </c>
      <c r="J6" t="str">
        <f>MID(F6, G6+4, 9999)</f>
        <v>Munchen: 4</v>
      </c>
      <c r="K6" s="2">
        <f>FIND(":", J6)</f>
        <v>8</v>
      </c>
      <c r="L6" t="str">
        <f>LEFT(J6, K6-1)</f>
        <v>Munchen</v>
      </c>
      <c r="M6" s="2" t="str">
        <f>RIGHT(F6, LEN(F6)-H6)</f>
        <v xml:space="preserve"> 4</v>
      </c>
    </row>
    <row r="7" spans="4:13" x14ac:dyDescent="0.25">
      <c r="E7" s="2"/>
      <c r="G7" s="2"/>
      <c r="H7" s="2"/>
      <c r="K7" s="2"/>
      <c r="M7" s="2"/>
    </row>
    <row r="8" spans="4:13" x14ac:dyDescent="0.25">
      <c r="E8" s="2"/>
      <c r="G8" s="2"/>
      <c r="H8" s="2"/>
      <c r="K8" s="2"/>
      <c r="M8" s="2"/>
    </row>
    <row r="9" spans="4:13" x14ac:dyDescent="0.25">
      <c r="E9" s="2"/>
      <c r="G9" s="2"/>
      <c r="H9" s="2"/>
      <c r="K9" s="2"/>
      <c r="M9" s="2"/>
    </row>
    <row r="10" spans="4:13" x14ac:dyDescent="0.25">
      <c r="E10" s="2"/>
      <c r="G10" s="2"/>
      <c r="H10" s="2"/>
      <c r="K10" s="2"/>
      <c r="M10" s="2"/>
    </row>
    <row r="11" spans="4:13" x14ac:dyDescent="0.25">
      <c r="E11" s="2"/>
      <c r="G11" s="2"/>
      <c r="H11" s="2"/>
      <c r="K11" s="2"/>
      <c r="M11" s="2"/>
    </row>
    <row r="12" spans="4:13" x14ac:dyDescent="0.25">
      <c r="E12" s="2"/>
      <c r="G12" s="2"/>
      <c r="H12" s="2"/>
      <c r="K12" s="2"/>
      <c r="M12" s="2"/>
    </row>
    <row r="13" spans="4:13" x14ac:dyDescent="0.25">
      <c r="D13" t="s">
        <v>2</v>
      </c>
      <c r="E13" s="2">
        <v>2</v>
      </c>
      <c r="F13" t="str">
        <f>SUBSTITUTE(D13, "          (big city)", "")</f>
        <v>Bruxelles to Essen: 4</v>
      </c>
      <c r="G13" s="2">
        <f>FIND(" to ", F13)</f>
        <v>10</v>
      </c>
      <c r="H13" s="2">
        <f>FIND(":", F13)</f>
        <v>19</v>
      </c>
      <c r="I13" t="str">
        <f>LEFT(F13, G13-1)</f>
        <v>Bruxelles</v>
      </c>
      <c r="J13" t="str">
        <f>MID(F13, G13+4, 9999)</f>
        <v>Essen: 4</v>
      </c>
      <c r="K13" s="2">
        <f>FIND(":", J13)</f>
        <v>6</v>
      </c>
      <c r="L13" t="str">
        <f>LEFT(J13, K13-1)</f>
        <v>Essen</v>
      </c>
      <c r="M13" s="2" t="str">
        <f>RIGHT(F13, LEN(F13)-H13)</f>
        <v xml:space="preserve"> 4</v>
      </c>
    </row>
    <row r="14" spans="4:13" x14ac:dyDescent="0.25">
      <c r="E14" s="2"/>
      <c r="G14" s="2"/>
      <c r="H14" s="2"/>
      <c r="K14" s="2"/>
      <c r="M14" s="2"/>
    </row>
    <row r="15" spans="4:13" x14ac:dyDescent="0.25">
      <c r="E15" s="2"/>
      <c r="G15" s="2"/>
      <c r="H15" s="2"/>
      <c r="K15" s="2"/>
      <c r="M15" s="2"/>
    </row>
    <row r="16" spans="4:13" x14ac:dyDescent="0.25">
      <c r="E16" s="2"/>
      <c r="G16" s="2"/>
      <c r="H16" s="2"/>
      <c r="K16" s="2"/>
      <c r="M16" s="2"/>
    </row>
    <row r="17" spans="4:13" x14ac:dyDescent="0.25">
      <c r="E17" s="2"/>
      <c r="G17" s="2"/>
      <c r="H17" s="2"/>
      <c r="K17" s="2"/>
      <c r="M17" s="2"/>
    </row>
    <row r="18" spans="4:13" x14ac:dyDescent="0.25">
      <c r="E18" s="2"/>
      <c r="G18" s="2"/>
      <c r="H18" s="2"/>
      <c r="K18" s="2"/>
      <c r="M18" s="2"/>
    </row>
    <row r="19" spans="4:13" x14ac:dyDescent="0.25">
      <c r="E19" s="2"/>
      <c r="G19" s="2"/>
      <c r="H19" s="2"/>
      <c r="K19" s="2"/>
      <c r="M19" s="2"/>
    </row>
    <row r="20" spans="4:13" x14ac:dyDescent="0.25">
      <c r="D20" t="s">
        <v>3</v>
      </c>
      <c r="E20" s="2">
        <v>3</v>
      </c>
      <c r="F20" t="str">
        <f>SUBSTITUTE(D20, "          (big city)", "")</f>
        <v>Budapest to Sofia: 5</v>
      </c>
      <c r="G20" s="2">
        <f>FIND(" to ", F20)</f>
        <v>9</v>
      </c>
      <c r="H20" s="2">
        <f>FIND(":", F20)</f>
        <v>18</v>
      </c>
      <c r="I20" t="str">
        <f>LEFT(F20, G20-1)</f>
        <v>Budapest</v>
      </c>
      <c r="J20" t="str">
        <f>MID(F20, G20+4, 9999)</f>
        <v>Sofia: 5</v>
      </c>
      <c r="K20" s="2">
        <f>FIND(":", J20)</f>
        <v>6</v>
      </c>
      <c r="L20" t="str">
        <f>LEFT(J20, K20-1)</f>
        <v>Sofia</v>
      </c>
      <c r="M20" s="2" t="str">
        <f>RIGHT(F20, LEN(F20)-H20)</f>
        <v xml:space="preserve"> 5</v>
      </c>
    </row>
    <row r="21" spans="4:13" x14ac:dyDescent="0.25">
      <c r="E21" s="2"/>
      <c r="G21" s="2"/>
      <c r="H21" s="2"/>
      <c r="K21" s="2"/>
      <c r="M21" s="2"/>
    </row>
    <row r="22" spans="4:13" x14ac:dyDescent="0.25">
      <c r="E22" s="2"/>
      <c r="G22" s="2"/>
      <c r="H22" s="2"/>
      <c r="K22" s="2"/>
      <c r="M22" s="2"/>
    </row>
    <row r="23" spans="4:13" x14ac:dyDescent="0.25">
      <c r="E23" s="2"/>
      <c r="G23" s="2"/>
      <c r="H23" s="2"/>
      <c r="K23" s="2"/>
      <c r="M23" s="2"/>
    </row>
    <row r="24" spans="4:13" x14ac:dyDescent="0.25">
      <c r="E24" s="2"/>
      <c r="G24" s="2"/>
      <c r="H24" s="2"/>
      <c r="K24" s="2"/>
      <c r="M24" s="2"/>
    </row>
    <row r="25" spans="4:13" x14ac:dyDescent="0.25">
      <c r="E25" s="2"/>
      <c r="G25" s="2"/>
      <c r="H25" s="2"/>
      <c r="K25" s="2"/>
      <c r="M25" s="2"/>
    </row>
    <row r="26" spans="4:13" x14ac:dyDescent="0.25">
      <c r="E26" s="2"/>
      <c r="G26" s="2"/>
      <c r="H26" s="2"/>
      <c r="K26" s="2"/>
      <c r="M26" s="2"/>
    </row>
    <row r="27" spans="4:13" x14ac:dyDescent="0.25">
      <c r="D27" t="s">
        <v>4</v>
      </c>
      <c r="E27" s="2">
        <v>4</v>
      </c>
      <c r="F27" t="str">
        <f>SUBSTITUTE(D27, "          (big city)", "")</f>
        <v>Wilno to Moskva: 5</v>
      </c>
      <c r="G27" s="2">
        <f>FIND(" to ", F27)</f>
        <v>6</v>
      </c>
      <c r="H27" s="2">
        <f>FIND(":", F27)</f>
        <v>16</v>
      </c>
      <c r="I27" t="str">
        <f>LEFT(F27, G27-1)</f>
        <v>Wilno</v>
      </c>
      <c r="J27" t="str">
        <f>MID(F27, G27+4, 9999)</f>
        <v>Moskva: 5</v>
      </c>
      <c r="K27" s="2">
        <f>FIND(":", J27)</f>
        <v>7</v>
      </c>
      <c r="L27" t="str">
        <f>LEFT(J27, K27-1)</f>
        <v>Moskva</v>
      </c>
      <c r="M27" s="2" t="str">
        <f>RIGHT(F27, LEN(F27)-H27)</f>
        <v xml:space="preserve"> 5</v>
      </c>
    </row>
    <row r="28" spans="4:13" x14ac:dyDescent="0.25">
      <c r="E28" s="2"/>
      <c r="G28" s="2"/>
      <c r="H28" s="2"/>
      <c r="K28" s="2"/>
      <c r="M28" s="2"/>
    </row>
    <row r="29" spans="4:13" x14ac:dyDescent="0.25">
      <c r="E29" s="2"/>
      <c r="G29" s="2"/>
      <c r="H29" s="2"/>
      <c r="K29" s="2"/>
      <c r="M29" s="2"/>
    </row>
    <row r="30" spans="4:13" x14ac:dyDescent="0.25">
      <c r="E30" s="2"/>
      <c r="G30" s="2"/>
      <c r="H30" s="2"/>
      <c r="K30" s="2"/>
      <c r="M30" s="2"/>
    </row>
    <row r="31" spans="4:13" x14ac:dyDescent="0.25">
      <c r="E31" s="2"/>
      <c r="G31" s="2"/>
      <c r="H31" s="2"/>
      <c r="K31" s="2"/>
      <c r="M31" s="2"/>
    </row>
    <row r="32" spans="4:13" x14ac:dyDescent="0.25">
      <c r="E32" s="2"/>
      <c r="G32" s="2"/>
      <c r="H32" s="2"/>
      <c r="K32" s="2"/>
      <c r="M32" s="2"/>
    </row>
    <row r="33" spans="4:13" x14ac:dyDescent="0.25">
      <c r="E33" s="2"/>
      <c r="G33" s="2"/>
      <c r="H33" s="2"/>
      <c r="K33" s="2"/>
      <c r="M33" s="2"/>
    </row>
    <row r="34" spans="4:13" x14ac:dyDescent="0.25">
      <c r="D34" t="s">
        <v>5</v>
      </c>
      <c r="E34" s="2">
        <v>5</v>
      </c>
      <c r="F34" t="str">
        <f>SUBSTITUTE(D34, "          (big city)", "")</f>
        <v>Moskva to Kyiv: 5</v>
      </c>
      <c r="G34" s="2">
        <f>FIND(" to ", F34)</f>
        <v>7</v>
      </c>
      <c r="H34" s="2">
        <f>FIND(":", F34)</f>
        <v>15</v>
      </c>
      <c r="I34" t="str">
        <f>LEFT(F34, G34-1)</f>
        <v>Moskva</v>
      </c>
      <c r="J34" t="str">
        <f>MID(F34, G34+4, 9999)</f>
        <v>Kyiv: 5</v>
      </c>
      <c r="K34" s="2">
        <f>FIND(":", J34)</f>
        <v>5</v>
      </c>
      <c r="L34" t="str">
        <f>LEFT(J34, K34-1)</f>
        <v>Kyiv</v>
      </c>
      <c r="M34" s="2" t="str">
        <f>RIGHT(F34, LEN(F34)-H34)</f>
        <v xml:space="preserve"> 5</v>
      </c>
    </row>
    <row r="35" spans="4:13" x14ac:dyDescent="0.25">
      <c r="E35" s="2"/>
      <c r="G35" s="2"/>
      <c r="H35" s="2"/>
      <c r="K35" s="2"/>
      <c r="M35" s="2"/>
    </row>
    <row r="36" spans="4:13" x14ac:dyDescent="0.25">
      <c r="E36" s="2"/>
      <c r="G36" s="2"/>
      <c r="H36" s="2"/>
      <c r="K36" s="2"/>
      <c r="M36" s="2"/>
    </row>
    <row r="37" spans="4:13" x14ac:dyDescent="0.25">
      <c r="E37" s="2"/>
      <c r="G37" s="2"/>
      <c r="H37" s="2"/>
      <c r="K37" s="2"/>
      <c r="M37" s="2"/>
    </row>
    <row r="38" spans="4:13" x14ac:dyDescent="0.25">
      <c r="E38" s="2"/>
      <c r="G38" s="2"/>
      <c r="H38" s="2"/>
      <c r="K38" s="2"/>
      <c r="M38" s="2"/>
    </row>
    <row r="39" spans="4:13" x14ac:dyDescent="0.25">
      <c r="E39" s="2"/>
      <c r="G39" s="2"/>
      <c r="H39" s="2"/>
      <c r="K39" s="2"/>
      <c r="M39" s="2"/>
    </row>
    <row r="40" spans="4:13" x14ac:dyDescent="0.25">
      <c r="E40" s="2"/>
      <c r="G40" s="2"/>
      <c r="H40" s="2"/>
      <c r="K40" s="2"/>
      <c r="M40" s="2"/>
    </row>
    <row r="41" spans="4:13" x14ac:dyDescent="0.25">
      <c r="D41" t="s">
        <v>6</v>
      </c>
      <c r="E41" s="2">
        <v>6</v>
      </c>
      <c r="F41" t="str">
        <f>SUBSTITUTE(D41, "          (big city)", "")</f>
        <v>Angora to Bucuresti: 5</v>
      </c>
      <c r="G41" s="2">
        <f>FIND(" to ", F41)</f>
        <v>7</v>
      </c>
      <c r="H41" s="2">
        <f>FIND(":", F41)</f>
        <v>20</v>
      </c>
      <c r="I41" t="str">
        <f>LEFT(F41, G41-1)</f>
        <v>Angora</v>
      </c>
      <c r="J41" t="str">
        <f>MID(F41, G41+4, 9999)</f>
        <v>Bucuresti: 5</v>
      </c>
      <c r="K41" s="2">
        <f>FIND(":", J41)</f>
        <v>10</v>
      </c>
      <c r="L41" t="str">
        <f>LEFT(J41, K41-1)</f>
        <v>Bucuresti</v>
      </c>
      <c r="M41" s="2" t="str">
        <f>RIGHT(F41, LEN(F41)-H41)</f>
        <v xml:space="preserve"> 5</v>
      </c>
    </row>
    <row r="42" spans="4:13" x14ac:dyDescent="0.25">
      <c r="E42" s="2"/>
      <c r="G42" s="2"/>
      <c r="H42" s="2"/>
      <c r="K42" s="2"/>
      <c r="M42" s="2"/>
    </row>
    <row r="43" spans="4:13" x14ac:dyDescent="0.25">
      <c r="E43" s="2"/>
      <c r="G43" s="2"/>
      <c r="H43" s="2"/>
      <c r="K43" s="2"/>
      <c r="M43" s="2"/>
    </row>
    <row r="44" spans="4:13" x14ac:dyDescent="0.25">
      <c r="E44" s="2"/>
      <c r="G44" s="2"/>
      <c r="H44" s="2"/>
      <c r="K44" s="2"/>
      <c r="M44" s="2"/>
    </row>
    <row r="45" spans="4:13" x14ac:dyDescent="0.25">
      <c r="E45" s="2"/>
      <c r="G45" s="2"/>
      <c r="H45" s="2"/>
      <c r="K45" s="2"/>
      <c r="M45" s="2"/>
    </row>
    <row r="46" spans="4:13" x14ac:dyDescent="0.25">
      <c r="E46" s="2"/>
      <c r="G46" s="2"/>
      <c r="H46" s="2"/>
      <c r="K46" s="2"/>
      <c r="M46" s="2"/>
    </row>
    <row r="47" spans="4:13" x14ac:dyDescent="0.25">
      <c r="E47" s="2"/>
      <c r="G47" s="2"/>
      <c r="H47" s="2"/>
      <c r="K47" s="2"/>
      <c r="M47" s="2"/>
    </row>
    <row r="48" spans="4:13" x14ac:dyDescent="0.25">
      <c r="D48" t="s">
        <v>7</v>
      </c>
      <c r="E48" s="2">
        <v>7</v>
      </c>
      <c r="F48" t="str">
        <f>SUBSTITUTE(D48, "          (big city)", "")</f>
        <v>Paris to Venezia: 5</v>
      </c>
      <c r="G48" s="2">
        <f>FIND(" to ", F48)</f>
        <v>6</v>
      </c>
      <c r="H48" s="2">
        <f>FIND(":", F48)</f>
        <v>17</v>
      </c>
      <c r="I48" t="str">
        <f>LEFT(F48, G48-1)</f>
        <v>Paris</v>
      </c>
      <c r="J48" t="str">
        <f>MID(F48, G48+4, 9999)</f>
        <v>Venezia: 5</v>
      </c>
      <c r="K48" s="2">
        <f>FIND(":", J48)</f>
        <v>8</v>
      </c>
      <c r="L48" t="str">
        <f>LEFT(J48, K48-1)</f>
        <v>Venezia</v>
      </c>
      <c r="M48" s="2" t="str">
        <f>RIGHT(F48, LEN(F48)-H48)</f>
        <v xml:space="preserve"> 5</v>
      </c>
    </row>
    <row r="49" spans="4:13" x14ac:dyDescent="0.25">
      <c r="E49" s="2"/>
      <c r="G49" s="2"/>
      <c r="H49" s="2"/>
      <c r="K49" s="2"/>
      <c r="M49" s="2"/>
    </row>
    <row r="50" spans="4:13" x14ac:dyDescent="0.25">
      <c r="E50" s="2"/>
      <c r="G50" s="2"/>
      <c r="H50" s="2"/>
      <c r="K50" s="2"/>
      <c r="M50" s="2"/>
    </row>
    <row r="51" spans="4:13" x14ac:dyDescent="0.25">
      <c r="E51" s="2"/>
      <c r="G51" s="2"/>
      <c r="H51" s="2"/>
      <c r="K51" s="2"/>
      <c r="M51" s="2"/>
    </row>
    <row r="52" spans="4:13" x14ac:dyDescent="0.25">
      <c r="E52" s="2"/>
      <c r="G52" s="2"/>
      <c r="H52" s="2"/>
      <c r="K52" s="2"/>
      <c r="M52" s="2"/>
    </row>
    <row r="53" spans="4:13" x14ac:dyDescent="0.25">
      <c r="E53" s="2"/>
      <c r="G53" s="2"/>
      <c r="H53" s="2"/>
      <c r="K53" s="2"/>
      <c r="M53" s="2"/>
    </row>
    <row r="54" spans="4:13" x14ac:dyDescent="0.25">
      <c r="E54" s="2"/>
      <c r="G54" s="2"/>
      <c r="H54" s="2"/>
      <c r="K54" s="2"/>
      <c r="M54" s="2"/>
    </row>
    <row r="55" spans="4:13" x14ac:dyDescent="0.25">
      <c r="D55" t="s">
        <v>8</v>
      </c>
      <c r="E55" s="2">
        <v>8</v>
      </c>
      <c r="F55" t="str">
        <f>SUBSTITUTE(D55, "          (big city)", "")</f>
        <v>Warszawa to Rica: 5</v>
      </c>
      <c r="G55" s="2">
        <f>FIND(" to ", F55)</f>
        <v>9</v>
      </c>
      <c r="H55" s="2">
        <f>FIND(":", F55)</f>
        <v>17</v>
      </c>
      <c r="I55" t="str">
        <f>LEFT(F55, G55-1)</f>
        <v>Warszawa</v>
      </c>
      <c r="J55" t="str">
        <f>MID(F55, G55+4, 9999)</f>
        <v>Rica: 5</v>
      </c>
      <c r="K55" s="2">
        <f>FIND(":", J55)</f>
        <v>5</v>
      </c>
      <c r="L55" t="str">
        <f>LEFT(J55, K55-1)</f>
        <v>Rica</v>
      </c>
      <c r="M55" s="2" t="str">
        <f>RIGHT(F55, LEN(F55)-H55)</f>
        <v xml:space="preserve"> 5</v>
      </c>
    </row>
    <row r="56" spans="4:13" x14ac:dyDescent="0.25">
      <c r="E56" s="2"/>
      <c r="G56" s="2"/>
      <c r="H56" s="2"/>
      <c r="K56" s="2"/>
      <c r="M56" s="2"/>
    </row>
    <row r="57" spans="4:13" x14ac:dyDescent="0.25">
      <c r="E57" s="2"/>
      <c r="G57" s="2"/>
      <c r="H57" s="2"/>
      <c r="K57" s="2"/>
      <c r="M57" s="2"/>
    </row>
    <row r="58" spans="4:13" x14ac:dyDescent="0.25">
      <c r="E58" s="2"/>
      <c r="G58" s="2"/>
      <c r="H58" s="2"/>
      <c r="K58" s="2"/>
      <c r="M58" s="2"/>
    </row>
    <row r="59" spans="4:13" x14ac:dyDescent="0.25">
      <c r="E59" s="2"/>
      <c r="G59" s="2"/>
      <c r="H59" s="2"/>
      <c r="K59" s="2"/>
      <c r="M59" s="2"/>
    </row>
    <row r="60" spans="4:13" x14ac:dyDescent="0.25">
      <c r="E60" s="2"/>
      <c r="G60" s="2"/>
      <c r="H60" s="2"/>
      <c r="K60" s="2"/>
      <c r="M60" s="2"/>
    </row>
    <row r="61" spans="4:13" x14ac:dyDescent="0.25">
      <c r="E61" s="2"/>
      <c r="G61" s="2"/>
      <c r="H61" s="2"/>
      <c r="K61" s="2"/>
      <c r="M61" s="2"/>
    </row>
    <row r="62" spans="4:13" x14ac:dyDescent="0.25">
      <c r="D62" t="s">
        <v>9</v>
      </c>
      <c r="E62" s="2">
        <v>9</v>
      </c>
      <c r="F62" t="str">
        <f>SUBSTITUTE(D62, "          (big city)", "")</f>
        <v>Frankfurt to Roma: 6</v>
      </c>
      <c r="G62" s="2">
        <f>FIND(" to ", F62)</f>
        <v>10</v>
      </c>
      <c r="H62" s="2">
        <f>FIND(":", F62)</f>
        <v>18</v>
      </c>
      <c r="I62" t="str">
        <f>LEFT(F62, G62-1)</f>
        <v>Frankfurt</v>
      </c>
      <c r="J62" t="str">
        <f>MID(F62, G62+4, 9999)</f>
        <v>Roma: 6</v>
      </c>
      <c r="K62" s="2">
        <f>FIND(":", J62)</f>
        <v>5</v>
      </c>
      <c r="L62" t="str">
        <f>LEFT(J62, K62-1)</f>
        <v>Roma</v>
      </c>
      <c r="M62" s="2" t="str">
        <f>RIGHT(F62, LEN(F62)-H62)</f>
        <v xml:space="preserve"> 6</v>
      </c>
    </row>
    <row r="63" spans="4:13" x14ac:dyDescent="0.25">
      <c r="E63" s="2"/>
      <c r="G63" s="2"/>
      <c r="H63" s="2"/>
      <c r="K63" s="2"/>
      <c r="M63" s="2"/>
    </row>
    <row r="64" spans="4:13" x14ac:dyDescent="0.25">
      <c r="E64" s="2"/>
      <c r="G64" s="2"/>
      <c r="H64" s="2"/>
      <c r="K64" s="2"/>
      <c r="M64" s="2"/>
    </row>
    <row r="65" spans="4:13" x14ac:dyDescent="0.25">
      <c r="E65" s="2"/>
      <c r="G65" s="2"/>
      <c r="H65" s="2"/>
      <c r="K65" s="2"/>
      <c r="M65" s="2"/>
    </row>
    <row r="66" spans="4:13" x14ac:dyDescent="0.25">
      <c r="E66" s="2"/>
      <c r="G66" s="2"/>
      <c r="H66" s="2"/>
      <c r="K66" s="2"/>
      <c r="M66" s="2"/>
    </row>
    <row r="67" spans="4:13" x14ac:dyDescent="0.25">
      <c r="E67" s="2"/>
      <c r="G67" s="2"/>
      <c r="H67" s="2"/>
      <c r="K67" s="2"/>
      <c r="M67" s="2"/>
    </row>
    <row r="68" spans="4:13" x14ac:dyDescent="0.25">
      <c r="E68" s="2"/>
      <c r="G68" s="2"/>
      <c r="H68" s="2"/>
      <c r="K68" s="2"/>
      <c r="M68" s="2"/>
    </row>
    <row r="69" spans="4:13" x14ac:dyDescent="0.25">
      <c r="D69" t="s">
        <v>10</v>
      </c>
      <c r="E69" s="2">
        <v>10</v>
      </c>
      <c r="F69" t="str">
        <f>SUBSTITUTE(D69, "          (big city)", "")</f>
        <v>Munchen to London: 6</v>
      </c>
      <c r="G69" s="2">
        <f>FIND(" to ", F69)</f>
        <v>8</v>
      </c>
      <c r="H69" s="2">
        <f>FIND(":", F69)</f>
        <v>18</v>
      </c>
      <c r="I69" t="str">
        <f>LEFT(F69, G69-1)</f>
        <v>Munchen</v>
      </c>
      <c r="J69" t="str">
        <f>MID(F69, G69+4, 9999)</f>
        <v>London: 6</v>
      </c>
      <c r="K69" s="2">
        <f>FIND(":", J69)</f>
        <v>7</v>
      </c>
      <c r="L69" t="str">
        <f>LEFT(J69, K69-1)</f>
        <v>London</v>
      </c>
      <c r="M69" s="2" t="str">
        <f>RIGHT(F69, LEN(F69)-H69)</f>
        <v xml:space="preserve"> 6</v>
      </c>
    </row>
    <row r="70" spans="4:13" x14ac:dyDescent="0.25">
      <c r="E70" s="2"/>
      <c r="G70" s="2"/>
      <c r="H70" s="2"/>
      <c r="K70" s="2"/>
      <c r="M70" s="2"/>
    </row>
    <row r="71" spans="4:13" x14ac:dyDescent="0.25">
      <c r="E71" s="2"/>
      <c r="G71" s="2"/>
      <c r="H71" s="2"/>
      <c r="K71" s="2"/>
      <c r="M71" s="2"/>
    </row>
    <row r="72" spans="4:13" x14ac:dyDescent="0.25">
      <c r="E72" s="2"/>
      <c r="G72" s="2"/>
      <c r="H72" s="2"/>
      <c r="K72" s="2"/>
      <c r="M72" s="2"/>
    </row>
    <row r="73" spans="4:13" x14ac:dyDescent="0.25">
      <c r="E73" s="2"/>
      <c r="G73" s="2"/>
      <c r="H73" s="2"/>
      <c r="K73" s="2"/>
      <c r="M73" s="2"/>
    </row>
    <row r="74" spans="4:13" x14ac:dyDescent="0.25">
      <c r="E74" s="2"/>
      <c r="G74" s="2"/>
      <c r="H74" s="2"/>
      <c r="K74" s="2"/>
      <c r="M74" s="2"/>
    </row>
    <row r="75" spans="4:13" x14ac:dyDescent="0.25">
      <c r="E75" s="2"/>
      <c r="G75" s="2"/>
      <c r="H75" s="2"/>
      <c r="K75" s="2"/>
      <c r="M75" s="2"/>
    </row>
    <row r="76" spans="4:13" x14ac:dyDescent="0.25">
      <c r="D76" t="s">
        <v>11</v>
      </c>
      <c r="E76" s="2">
        <v>11</v>
      </c>
      <c r="F76" t="str">
        <f>SUBSTITUTE(D76, "          (big city)", "")</f>
        <v>Edinburgh to Dieppe: 6</v>
      </c>
      <c r="G76" s="2">
        <f>FIND(" to ", F76)</f>
        <v>10</v>
      </c>
      <c r="H76" s="2">
        <f>FIND(":", F76)</f>
        <v>20</v>
      </c>
      <c r="I76" t="str">
        <f>LEFT(F76, G76-1)</f>
        <v>Edinburgh</v>
      </c>
      <c r="J76" t="str">
        <f>MID(F76, G76+4, 9999)</f>
        <v>Dieppe: 6</v>
      </c>
      <c r="K76" s="2">
        <f>FIND(":", J76)</f>
        <v>7</v>
      </c>
      <c r="L76" t="str">
        <f>LEFT(J76, K76-1)</f>
        <v>Dieppe</v>
      </c>
      <c r="M76" s="2" t="str">
        <f>RIGHT(F76, LEN(F76)-H76)</f>
        <v xml:space="preserve"> 6</v>
      </c>
    </row>
    <row r="77" spans="4:13" x14ac:dyDescent="0.25">
      <c r="E77" s="2"/>
      <c r="G77" s="2"/>
      <c r="H77" s="2"/>
      <c r="K77" s="2"/>
      <c r="M77" s="2"/>
    </row>
    <row r="78" spans="4:13" x14ac:dyDescent="0.25">
      <c r="E78" s="2"/>
      <c r="G78" s="2"/>
      <c r="H78" s="2"/>
      <c r="K78" s="2"/>
      <c r="M78" s="2"/>
    </row>
    <row r="79" spans="4:13" x14ac:dyDescent="0.25">
      <c r="E79" s="2"/>
      <c r="G79" s="2"/>
      <c r="H79" s="2"/>
      <c r="K79" s="2"/>
      <c r="M79" s="2"/>
    </row>
    <row r="80" spans="4:13" x14ac:dyDescent="0.25">
      <c r="E80" s="2"/>
      <c r="G80" s="2"/>
      <c r="H80" s="2"/>
      <c r="K80" s="2"/>
      <c r="M80" s="2"/>
    </row>
    <row r="81" spans="4:13" x14ac:dyDescent="0.25">
      <c r="E81" s="2"/>
      <c r="G81" s="2"/>
      <c r="H81" s="2"/>
      <c r="K81" s="2"/>
      <c r="M81" s="2"/>
    </row>
    <row r="82" spans="4:13" x14ac:dyDescent="0.25">
      <c r="E82" s="2"/>
      <c r="G82" s="2"/>
      <c r="H82" s="2"/>
      <c r="K82" s="2"/>
      <c r="M82" s="2"/>
    </row>
    <row r="83" spans="4:13" x14ac:dyDescent="0.25">
      <c r="D83" t="s">
        <v>12</v>
      </c>
      <c r="E83" s="2">
        <v>12</v>
      </c>
      <c r="F83" t="str">
        <f>SUBSTITUTE(D83, "          (big city)", "")</f>
        <v>Rica to Kyiv: 6</v>
      </c>
      <c r="G83" s="2">
        <f>FIND(" to ", F83)</f>
        <v>5</v>
      </c>
      <c r="H83" s="2">
        <f>FIND(":", F83)</f>
        <v>13</v>
      </c>
      <c r="I83" t="str">
        <f>LEFT(F83, G83-1)</f>
        <v>Rica</v>
      </c>
      <c r="J83" t="str">
        <f>MID(F83, G83+4, 9999)</f>
        <v>Kyiv: 6</v>
      </c>
      <c r="K83" s="2">
        <f>FIND(":", J83)</f>
        <v>5</v>
      </c>
      <c r="L83" t="str">
        <f>LEFT(J83, K83-1)</f>
        <v>Kyiv</v>
      </c>
      <c r="M83" s="2" t="str">
        <f>RIGHT(F83, LEN(F83)-H83)</f>
        <v xml:space="preserve"> 6</v>
      </c>
    </row>
    <row r="84" spans="4:13" x14ac:dyDescent="0.25">
      <c r="E84" s="2"/>
      <c r="G84" s="2"/>
      <c r="H84" s="2"/>
      <c r="K84" s="2"/>
      <c r="M84" s="2"/>
    </row>
    <row r="85" spans="4:13" x14ac:dyDescent="0.25">
      <c r="E85" s="2"/>
      <c r="G85" s="2"/>
      <c r="H85" s="2"/>
      <c r="K85" s="2"/>
      <c r="M85" s="2"/>
    </row>
    <row r="86" spans="4:13" x14ac:dyDescent="0.25">
      <c r="E86" s="2"/>
      <c r="G86" s="2"/>
      <c r="H86" s="2"/>
      <c r="K86" s="2"/>
      <c r="M86" s="2"/>
    </row>
    <row r="87" spans="4:13" x14ac:dyDescent="0.25">
      <c r="E87" s="2"/>
      <c r="G87" s="2"/>
      <c r="H87" s="2"/>
      <c r="K87" s="2"/>
      <c r="M87" s="2"/>
    </row>
    <row r="88" spans="4:13" x14ac:dyDescent="0.25">
      <c r="E88" s="2"/>
      <c r="G88" s="2"/>
      <c r="H88" s="2"/>
      <c r="K88" s="2"/>
      <c r="M88" s="2"/>
    </row>
    <row r="89" spans="4:13" x14ac:dyDescent="0.25">
      <c r="E89" s="2"/>
      <c r="G89" s="2"/>
      <c r="H89" s="2"/>
      <c r="K89" s="2"/>
      <c r="M89" s="2"/>
    </row>
    <row r="90" spans="4:13" x14ac:dyDescent="0.25">
      <c r="D90" t="s">
        <v>13</v>
      </c>
      <c r="E90" s="2">
        <v>13</v>
      </c>
      <c r="F90" t="str">
        <f>SUBSTITUTE(D90, "          (big city)", "")</f>
        <v>Frankfurt to Zagrab: 6</v>
      </c>
      <c r="G90" s="2">
        <f>FIND(" to ", F90)</f>
        <v>10</v>
      </c>
      <c r="H90" s="2">
        <f>FIND(":", F90)</f>
        <v>20</v>
      </c>
      <c r="I90" t="str">
        <f>LEFT(F90, G90-1)</f>
        <v>Frankfurt</v>
      </c>
      <c r="J90" t="str">
        <f>MID(F90, G90+4, 9999)</f>
        <v>Zagrab: 6</v>
      </c>
      <c r="K90" s="2">
        <f>FIND(":", J90)</f>
        <v>7</v>
      </c>
      <c r="L90" t="str">
        <f>LEFT(J90, K90-1)</f>
        <v>Zagrab</v>
      </c>
      <c r="M90" s="2" t="str">
        <f>RIGHT(F90, LEN(F90)-H90)</f>
        <v xml:space="preserve"> 6</v>
      </c>
    </row>
    <row r="91" spans="4:13" x14ac:dyDescent="0.25">
      <c r="E91" s="2"/>
      <c r="G91" s="2"/>
      <c r="H91" s="2"/>
      <c r="K91" s="2"/>
      <c r="M91" s="2"/>
    </row>
    <row r="92" spans="4:13" x14ac:dyDescent="0.25">
      <c r="E92" s="2"/>
      <c r="G92" s="2"/>
      <c r="H92" s="2"/>
      <c r="K92" s="2"/>
      <c r="M92" s="2"/>
    </row>
    <row r="93" spans="4:13" x14ac:dyDescent="0.25">
      <c r="E93" s="2"/>
      <c r="G93" s="2"/>
      <c r="H93" s="2"/>
      <c r="K93" s="2"/>
      <c r="M93" s="2"/>
    </row>
    <row r="94" spans="4:13" x14ac:dyDescent="0.25">
      <c r="E94" s="2"/>
      <c r="G94" s="2"/>
      <c r="H94" s="2"/>
      <c r="K94" s="2"/>
      <c r="M94" s="2"/>
    </row>
    <row r="95" spans="4:13" x14ac:dyDescent="0.25">
      <c r="E95" s="2"/>
      <c r="G95" s="2"/>
      <c r="H95" s="2"/>
      <c r="K95" s="2"/>
      <c r="M95" s="2"/>
    </row>
    <row r="96" spans="4:13" x14ac:dyDescent="0.25">
      <c r="E96" s="2"/>
      <c r="G96" s="2"/>
      <c r="H96" s="2"/>
      <c r="K96" s="2"/>
      <c r="M96" s="2"/>
    </row>
    <row r="97" spans="4:13" x14ac:dyDescent="0.25">
      <c r="D97" t="s">
        <v>14</v>
      </c>
      <c r="E97" s="2">
        <v>14</v>
      </c>
      <c r="F97" t="str">
        <f>SUBSTITUTE(D97, "          (big city)", "")</f>
        <v>Zurich to Brindisi: 6</v>
      </c>
      <c r="G97" s="2">
        <f>FIND(" to ", F97)</f>
        <v>7</v>
      </c>
      <c r="H97" s="2">
        <f>FIND(":", F97)</f>
        <v>19</v>
      </c>
      <c r="I97" t="str">
        <f>LEFT(F97, G97-1)</f>
        <v>Zurich</v>
      </c>
      <c r="J97" t="str">
        <f>MID(F97, G97+4, 9999)</f>
        <v>Brindisi: 6</v>
      </c>
      <c r="K97" s="2">
        <f>FIND(":", J97)</f>
        <v>9</v>
      </c>
      <c r="L97" t="str">
        <f>LEFT(J97, K97-1)</f>
        <v>Brindisi</v>
      </c>
      <c r="M97" s="2" t="str">
        <f>RIGHT(F97, LEN(F97)-H97)</f>
        <v xml:space="preserve"> 6</v>
      </c>
    </row>
    <row r="98" spans="4:13" x14ac:dyDescent="0.25">
      <c r="E98" s="2"/>
      <c r="G98" s="2"/>
      <c r="H98" s="2"/>
      <c r="K98" s="2"/>
      <c r="M98" s="2"/>
    </row>
    <row r="99" spans="4:13" x14ac:dyDescent="0.25">
      <c r="E99" s="2"/>
      <c r="G99" s="2"/>
      <c r="H99" s="2"/>
      <c r="K99" s="2"/>
      <c r="M99" s="2"/>
    </row>
    <row r="100" spans="4:13" x14ac:dyDescent="0.25">
      <c r="E100" s="2"/>
      <c r="G100" s="2"/>
      <c r="H100" s="2"/>
      <c r="K100" s="2"/>
      <c r="M100" s="2"/>
    </row>
    <row r="101" spans="4:13" x14ac:dyDescent="0.25">
      <c r="E101" s="2"/>
      <c r="G101" s="2"/>
      <c r="H101" s="2"/>
      <c r="K101" s="2"/>
      <c r="M101" s="2"/>
    </row>
    <row r="102" spans="4:13" x14ac:dyDescent="0.25">
      <c r="E102" s="2"/>
      <c r="G102" s="2"/>
      <c r="H102" s="2"/>
      <c r="K102" s="2"/>
      <c r="M102" s="2"/>
    </row>
    <row r="103" spans="4:13" x14ac:dyDescent="0.25">
      <c r="E103" s="2"/>
      <c r="G103" s="2"/>
      <c r="H103" s="2"/>
      <c r="K103" s="2"/>
      <c r="M103" s="2"/>
    </row>
    <row r="104" spans="4:13" x14ac:dyDescent="0.25">
      <c r="D104" t="s">
        <v>15</v>
      </c>
      <c r="E104" s="2">
        <v>15</v>
      </c>
      <c r="F104" t="str">
        <f>SUBSTITUTE(D104, "          (big city)", "")</f>
        <v>Marseille to Wien: 7</v>
      </c>
      <c r="G104" s="2">
        <f>FIND(" to ", F104)</f>
        <v>10</v>
      </c>
      <c r="H104" s="2">
        <f>FIND(":", F104)</f>
        <v>18</v>
      </c>
      <c r="I104" t="str">
        <f>LEFT(F104, G104-1)</f>
        <v>Marseille</v>
      </c>
      <c r="J104" t="str">
        <f>MID(F104, G104+4, 9999)</f>
        <v>Wien: 7</v>
      </c>
      <c r="K104" s="2">
        <f>FIND(":", J104)</f>
        <v>5</v>
      </c>
      <c r="L104" t="str">
        <f>LEFT(J104, K104-1)</f>
        <v>Wien</v>
      </c>
      <c r="M104" s="2" t="str">
        <f>RIGHT(F104, LEN(F104)-H104)</f>
        <v xml:space="preserve"> 7</v>
      </c>
    </row>
    <row r="105" spans="4:13" x14ac:dyDescent="0.25">
      <c r="E105" s="2"/>
      <c r="G105" s="2"/>
      <c r="H105" s="2"/>
      <c r="K105" s="2"/>
      <c r="M105" s="2"/>
    </row>
    <row r="106" spans="4:13" x14ac:dyDescent="0.25">
      <c r="E106" s="2"/>
      <c r="G106" s="2"/>
      <c r="H106" s="2"/>
      <c r="K106" s="2"/>
      <c r="M106" s="2"/>
    </row>
    <row r="107" spans="4:13" x14ac:dyDescent="0.25">
      <c r="E107" s="2"/>
      <c r="G107" s="2"/>
      <c r="H107" s="2"/>
      <c r="K107" s="2"/>
      <c r="M107" s="2"/>
    </row>
    <row r="108" spans="4:13" x14ac:dyDescent="0.25">
      <c r="E108" s="2"/>
      <c r="G108" s="2"/>
      <c r="H108" s="2"/>
      <c r="K108" s="2"/>
      <c r="M108" s="2"/>
    </row>
    <row r="109" spans="4:13" x14ac:dyDescent="0.25">
      <c r="E109" s="2"/>
      <c r="G109" s="2"/>
      <c r="H109" s="2"/>
      <c r="K109" s="2"/>
      <c r="M109" s="2"/>
    </row>
    <row r="110" spans="4:13" x14ac:dyDescent="0.25">
      <c r="E110" s="2"/>
      <c r="G110" s="2"/>
      <c r="H110" s="2"/>
      <c r="K110" s="2"/>
      <c r="M110" s="2"/>
    </row>
    <row r="111" spans="4:13" x14ac:dyDescent="0.25">
      <c r="D111" t="s">
        <v>16</v>
      </c>
      <c r="E111" s="2">
        <v>16</v>
      </c>
      <c r="F111" t="str">
        <f>SUBSTITUTE(D111, "          (big city)", "")</f>
        <v>Wien to Kyiv: 7</v>
      </c>
      <c r="G111" s="2">
        <f>FIND(" to ", F111)</f>
        <v>5</v>
      </c>
      <c r="H111" s="2">
        <f>FIND(":", F111)</f>
        <v>13</v>
      </c>
      <c r="I111" t="str">
        <f>LEFT(F111, G111-1)</f>
        <v>Wien</v>
      </c>
      <c r="J111" t="str">
        <f>MID(F111, G111+4, 9999)</f>
        <v>Kyiv: 7</v>
      </c>
      <c r="K111" s="2">
        <f>FIND(":", J111)</f>
        <v>5</v>
      </c>
      <c r="L111" t="str">
        <f>LEFT(J111, K111-1)</f>
        <v>Kyiv</v>
      </c>
      <c r="M111" s="2" t="str">
        <f>RIGHT(F111, LEN(F111)-H111)</f>
        <v xml:space="preserve"> 7</v>
      </c>
    </row>
    <row r="112" spans="4:13" x14ac:dyDescent="0.25">
      <c r="E112" s="2"/>
      <c r="G112" s="2"/>
      <c r="H112" s="2"/>
      <c r="K112" s="2"/>
      <c r="M112" s="2"/>
    </row>
    <row r="113" spans="4:13" x14ac:dyDescent="0.25">
      <c r="E113" s="2"/>
      <c r="G113" s="2"/>
      <c r="H113" s="2"/>
      <c r="K113" s="2"/>
      <c r="M113" s="2"/>
    </row>
    <row r="114" spans="4:13" x14ac:dyDescent="0.25">
      <c r="E114" s="2"/>
      <c r="G114" s="2"/>
      <c r="H114" s="2"/>
      <c r="K114" s="2"/>
      <c r="M114" s="2"/>
    </row>
    <row r="115" spans="4:13" x14ac:dyDescent="0.25">
      <c r="E115" s="2"/>
      <c r="G115" s="2"/>
      <c r="H115" s="2"/>
      <c r="K115" s="2"/>
      <c r="M115" s="2"/>
    </row>
    <row r="116" spans="4:13" x14ac:dyDescent="0.25">
      <c r="E116" s="2"/>
      <c r="G116" s="2"/>
      <c r="H116" s="2"/>
      <c r="K116" s="2"/>
      <c r="M116" s="2"/>
    </row>
    <row r="117" spans="4:13" x14ac:dyDescent="0.25">
      <c r="E117" s="2"/>
      <c r="G117" s="2"/>
      <c r="H117" s="2"/>
      <c r="K117" s="2"/>
      <c r="M117" s="2"/>
    </row>
    <row r="118" spans="4:13" x14ac:dyDescent="0.25">
      <c r="D118" t="s">
        <v>17</v>
      </c>
      <c r="E118" s="2">
        <v>17</v>
      </c>
      <c r="F118" t="str">
        <f>SUBSTITUTE(D118, "          (big city)", "")</f>
        <v>Barcelona to Dieppe: 7</v>
      </c>
      <c r="G118" s="2">
        <f>FIND(" to ", F118)</f>
        <v>10</v>
      </c>
      <c r="H118" s="2">
        <f>FIND(":", F118)</f>
        <v>20</v>
      </c>
      <c r="I118" t="str">
        <f>LEFT(F118, G118-1)</f>
        <v>Barcelona</v>
      </c>
      <c r="J118" t="str">
        <f>MID(F118, G118+4, 9999)</f>
        <v>Dieppe: 7</v>
      </c>
      <c r="K118" s="2">
        <f>FIND(":", J118)</f>
        <v>7</v>
      </c>
      <c r="L118" t="str">
        <f>LEFT(J118, K118-1)</f>
        <v>Dieppe</v>
      </c>
      <c r="M118" s="2" t="str">
        <f>RIGHT(F118, LEN(F118)-H118)</f>
        <v xml:space="preserve"> 7</v>
      </c>
    </row>
    <row r="119" spans="4:13" x14ac:dyDescent="0.25">
      <c r="E119" s="2"/>
      <c r="G119" s="2"/>
      <c r="H119" s="2"/>
      <c r="K119" s="2"/>
      <c r="M119" s="2"/>
    </row>
    <row r="120" spans="4:13" x14ac:dyDescent="0.25">
      <c r="E120" s="2"/>
      <c r="G120" s="2"/>
      <c r="H120" s="2"/>
      <c r="K120" s="2"/>
      <c r="M120" s="2"/>
    </row>
    <row r="121" spans="4:13" x14ac:dyDescent="0.25">
      <c r="E121" s="2"/>
      <c r="G121" s="2"/>
      <c r="H121" s="2"/>
      <c r="K121" s="2"/>
      <c r="M121" s="2"/>
    </row>
    <row r="122" spans="4:13" x14ac:dyDescent="0.25">
      <c r="E122" s="2"/>
      <c r="G122" s="2"/>
      <c r="H122" s="2"/>
      <c r="K122" s="2"/>
      <c r="M122" s="2"/>
    </row>
    <row r="123" spans="4:13" x14ac:dyDescent="0.25">
      <c r="E123" s="2"/>
      <c r="G123" s="2"/>
      <c r="H123" s="2"/>
      <c r="K123" s="2"/>
      <c r="M123" s="2"/>
    </row>
    <row r="124" spans="4:13" x14ac:dyDescent="0.25">
      <c r="E124" s="2"/>
      <c r="G124" s="2"/>
      <c r="H124" s="2"/>
      <c r="K124" s="2"/>
      <c r="M124" s="2"/>
    </row>
    <row r="125" spans="4:13" x14ac:dyDescent="0.25">
      <c r="D125" t="s">
        <v>18</v>
      </c>
      <c r="E125" s="2">
        <v>18</v>
      </c>
      <c r="F125" t="str">
        <f>SUBSTITUTE(D125, "          (big city)", "")</f>
        <v>Roma to Smyrna: 8</v>
      </c>
      <c r="G125" s="2">
        <f>FIND(" to ", F125)</f>
        <v>5</v>
      </c>
      <c r="H125" s="2">
        <f>FIND(":", F125)</f>
        <v>15</v>
      </c>
      <c r="I125" t="str">
        <f>LEFT(F125, G125-1)</f>
        <v>Roma</v>
      </c>
      <c r="J125" t="str">
        <f>MID(F125, G125+4, 9999)</f>
        <v>Smyrna: 8</v>
      </c>
      <c r="K125" s="2">
        <f>FIND(":", J125)</f>
        <v>7</v>
      </c>
      <c r="L125" t="str">
        <f>LEFT(J125, K125-1)</f>
        <v>Smyrna</v>
      </c>
      <c r="M125" s="2" t="str">
        <f>RIGHT(F125, LEN(F125)-H125)</f>
        <v xml:space="preserve"> 8</v>
      </c>
    </row>
    <row r="126" spans="4:13" x14ac:dyDescent="0.25">
      <c r="E126" s="2"/>
      <c r="G126" s="2"/>
      <c r="H126" s="2"/>
      <c r="K126" s="2"/>
      <c r="M126" s="2"/>
    </row>
    <row r="127" spans="4:13" x14ac:dyDescent="0.25">
      <c r="E127" s="2"/>
      <c r="G127" s="2"/>
      <c r="H127" s="2"/>
      <c r="K127" s="2"/>
      <c r="M127" s="2"/>
    </row>
    <row r="128" spans="4:13" x14ac:dyDescent="0.25">
      <c r="E128" s="2"/>
      <c r="G128" s="2"/>
      <c r="H128" s="2"/>
      <c r="K128" s="2"/>
      <c r="M128" s="2"/>
    </row>
    <row r="129" spans="4:13" x14ac:dyDescent="0.25">
      <c r="E129" s="2"/>
      <c r="G129" s="2"/>
      <c r="H129" s="2"/>
      <c r="K129" s="2"/>
      <c r="M129" s="2"/>
    </row>
    <row r="130" spans="4:13" x14ac:dyDescent="0.25">
      <c r="E130" s="2"/>
      <c r="G130" s="2"/>
      <c r="H130" s="2"/>
      <c r="K130" s="2"/>
      <c r="M130" s="2"/>
    </row>
    <row r="131" spans="4:13" x14ac:dyDescent="0.25">
      <c r="E131" s="2"/>
      <c r="G131" s="2"/>
      <c r="H131" s="2"/>
      <c r="K131" s="2"/>
      <c r="M131" s="2"/>
    </row>
    <row r="132" spans="4:13" x14ac:dyDescent="0.25">
      <c r="D132" t="s">
        <v>19</v>
      </c>
      <c r="E132" s="2">
        <v>19</v>
      </c>
      <c r="F132" t="str">
        <f>SUBSTITUTE(D132, "          (big city)", "")</f>
        <v>Roma to Pamplona: 8</v>
      </c>
      <c r="G132" s="2">
        <f>FIND(" to ", F132)</f>
        <v>5</v>
      </c>
      <c r="H132" s="2">
        <f>FIND(":", F132)</f>
        <v>17</v>
      </c>
      <c r="I132" t="str">
        <f>LEFT(F132, G132-1)</f>
        <v>Roma</v>
      </c>
      <c r="J132" t="str">
        <f>MID(F132, G132+4, 9999)</f>
        <v>Pamplona: 8</v>
      </c>
      <c r="K132" s="2">
        <f>FIND(":", J132)</f>
        <v>9</v>
      </c>
      <c r="L132" t="str">
        <f>LEFT(J132, K132-1)</f>
        <v>Pamplona</v>
      </c>
      <c r="M132" s="2" t="str">
        <f>RIGHT(F132, LEN(F132)-H132)</f>
        <v xml:space="preserve"> 8</v>
      </c>
    </row>
    <row r="133" spans="4:13" x14ac:dyDescent="0.25">
      <c r="E133" s="2"/>
      <c r="G133" s="2"/>
      <c r="H133" s="2"/>
      <c r="K133" s="2"/>
      <c r="M133" s="2"/>
    </row>
    <row r="134" spans="4:13" x14ac:dyDescent="0.25">
      <c r="E134" s="2"/>
      <c r="G134" s="2"/>
      <c r="H134" s="2"/>
      <c r="K134" s="2"/>
      <c r="M134" s="2"/>
    </row>
    <row r="135" spans="4:13" x14ac:dyDescent="0.25">
      <c r="E135" s="2"/>
      <c r="G135" s="2"/>
      <c r="H135" s="2"/>
      <c r="K135" s="2"/>
      <c r="M135" s="2"/>
    </row>
    <row r="136" spans="4:13" x14ac:dyDescent="0.25">
      <c r="E136" s="2"/>
      <c r="G136" s="2"/>
      <c r="H136" s="2"/>
      <c r="K136" s="2"/>
      <c r="M136" s="2"/>
    </row>
    <row r="137" spans="4:13" x14ac:dyDescent="0.25">
      <c r="E137" s="2"/>
      <c r="G137" s="2"/>
      <c r="H137" s="2"/>
      <c r="K137" s="2"/>
      <c r="M137" s="2"/>
    </row>
    <row r="138" spans="4:13" x14ac:dyDescent="0.25">
      <c r="E138" s="2"/>
      <c r="G138" s="2"/>
      <c r="H138" s="2"/>
      <c r="K138" s="2"/>
      <c r="M138" s="2"/>
    </row>
    <row r="139" spans="4:13" x14ac:dyDescent="0.25">
      <c r="D139" t="s">
        <v>20</v>
      </c>
      <c r="E139" s="2">
        <v>20</v>
      </c>
      <c r="F139" t="str">
        <f>SUBSTITUTE(D139, "          (big city)", "")</f>
        <v>Roma to Bruxelles: 8</v>
      </c>
      <c r="G139" s="2">
        <f>FIND(" to ", F139)</f>
        <v>5</v>
      </c>
      <c r="H139" s="2">
        <f>FIND(":", F139)</f>
        <v>18</v>
      </c>
      <c r="I139" t="str">
        <f>LEFT(F139, G139-1)</f>
        <v>Roma</v>
      </c>
      <c r="J139" t="str">
        <f>MID(F139, G139+4, 9999)</f>
        <v>Bruxelles: 8</v>
      </c>
      <c r="K139" s="2">
        <f>FIND(":", J139)</f>
        <v>10</v>
      </c>
      <c r="L139" t="str">
        <f>LEFT(J139, K139-1)</f>
        <v>Bruxelles</v>
      </c>
      <c r="M139" s="2" t="str">
        <f>RIGHT(F139, LEN(F139)-H139)</f>
        <v xml:space="preserve"> 8</v>
      </c>
    </row>
    <row r="140" spans="4:13" x14ac:dyDescent="0.25">
      <c r="E140" s="2"/>
      <c r="G140" s="2"/>
      <c r="H140" s="2"/>
      <c r="K140" s="2"/>
      <c r="M140" s="2"/>
    </row>
    <row r="141" spans="4:13" x14ac:dyDescent="0.25">
      <c r="E141" s="2"/>
      <c r="G141" s="2"/>
      <c r="H141" s="2"/>
      <c r="K141" s="2"/>
      <c r="M141" s="2"/>
    </row>
    <row r="142" spans="4:13" x14ac:dyDescent="0.25">
      <c r="E142" s="2"/>
      <c r="G142" s="2"/>
      <c r="H142" s="2"/>
      <c r="K142" s="2"/>
      <c r="M142" s="2"/>
    </row>
    <row r="143" spans="4:13" x14ac:dyDescent="0.25">
      <c r="E143" s="2"/>
      <c r="G143" s="2"/>
      <c r="H143" s="2"/>
      <c r="K143" s="2"/>
      <c r="M143" s="2"/>
    </row>
    <row r="144" spans="4:13" x14ac:dyDescent="0.25">
      <c r="E144" s="2"/>
      <c r="G144" s="2"/>
      <c r="H144" s="2"/>
      <c r="K144" s="2"/>
      <c r="M144" s="2"/>
    </row>
    <row r="145" spans="4:13" x14ac:dyDescent="0.25">
      <c r="E145" s="2"/>
      <c r="G145" s="2"/>
      <c r="H145" s="2"/>
      <c r="K145" s="2"/>
      <c r="M145" s="2"/>
    </row>
    <row r="146" spans="4:13" x14ac:dyDescent="0.25">
      <c r="D146" t="s">
        <v>21</v>
      </c>
      <c r="E146" s="2">
        <v>21</v>
      </c>
      <c r="F146" t="str">
        <f>SUBSTITUTE(D146, "          (big city)", "")</f>
        <v>Berlin to Kyiv: 8</v>
      </c>
      <c r="G146" s="2">
        <f>FIND(" to ", F146)</f>
        <v>7</v>
      </c>
      <c r="H146" s="2">
        <f>FIND(":", F146)</f>
        <v>15</v>
      </c>
      <c r="I146" t="str">
        <f>LEFT(F146, G146-1)</f>
        <v>Berlin</v>
      </c>
      <c r="J146" t="str">
        <f>MID(F146, G146+4, 9999)</f>
        <v>Kyiv: 8</v>
      </c>
      <c r="K146" s="2">
        <f>FIND(":", J146)</f>
        <v>5</v>
      </c>
      <c r="L146" t="str">
        <f>LEFT(J146, K146-1)</f>
        <v>Kyiv</v>
      </c>
      <c r="M146" s="2" t="str">
        <f>RIGHT(F146, LEN(F146)-H146)</f>
        <v xml:space="preserve"> 8</v>
      </c>
    </row>
    <row r="147" spans="4:13" x14ac:dyDescent="0.25">
      <c r="E147" s="2"/>
      <c r="G147" s="2"/>
      <c r="H147" s="2"/>
      <c r="K147" s="2"/>
      <c r="M147" s="2"/>
    </row>
    <row r="148" spans="4:13" x14ac:dyDescent="0.25">
      <c r="E148" s="2"/>
      <c r="G148" s="2"/>
      <c r="H148" s="2"/>
      <c r="K148" s="2"/>
      <c r="M148" s="2"/>
    </row>
    <row r="149" spans="4:13" x14ac:dyDescent="0.25">
      <c r="E149" s="2"/>
      <c r="G149" s="2"/>
      <c r="H149" s="2"/>
      <c r="K149" s="2"/>
      <c r="M149" s="2"/>
    </row>
    <row r="150" spans="4:13" x14ac:dyDescent="0.25">
      <c r="E150" s="2"/>
      <c r="G150" s="2"/>
      <c r="H150" s="2"/>
      <c r="K150" s="2"/>
      <c r="M150" s="2"/>
    </row>
    <row r="151" spans="4:13" x14ac:dyDescent="0.25">
      <c r="E151" s="2"/>
      <c r="G151" s="2"/>
      <c r="H151" s="2"/>
      <c r="K151" s="2"/>
      <c r="M151" s="2"/>
    </row>
    <row r="152" spans="4:13" x14ac:dyDescent="0.25">
      <c r="E152" s="2"/>
      <c r="G152" s="2"/>
      <c r="H152" s="2"/>
      <c r="K152" s="2"/>
      <c r="M152" s="2"/>
    </row>
    <row r="153" spans="4:13" x14ac:dyDescent="0.25">
      <c r="D153" t="s">
        <v>22</v>
      </c>
      <c r="E153" s="2">
        <v>22</v>
      </c>
      <c r="F153" t="str">
        <f>SUBSTITUTE(D153, "          (big city)", "")</f>
        <v>Wilno to Constantinople: 9</v>
      </c>
      <c r="G153" s="2">
        <f>FIND(" to ", F153)</f>
        <v>6</v>
      </c>
      <c r="H153" s="2">
        <f>FIND(":", F153)</f>
        <v>24</v>
      </c>
      <c r="I153" t="str">
        <f>LEFT(F153, G153-1)</f>
        <v>Wilno</v>
      </c>
      <c r="J153" t="str">
        <f>MID(F153, G153+4, 9999)</f>
        <v>Constantinople: 9</v>
      </c>
      <c r="K153" s="2">
        <f>FIND(":", J153)</f>
        <v>15</v>
      </c>
      <c r="L153" t="str">
        <f>LEFT(J153, K153-1)</f>
        <v>Constantinople</v>
      </c>
      <c r="M153" s="2" t="str">
        <f>RIGHT(F153, LEN(F153)-H153)</f>
        <v xml:space="preserve"> 9</v>
      </c>
    </row>
    <row r="154" spans="4:13" x14ac:dyDescent="0.25">
      <c r="E154" s="2"/>
      <c r="G154" s="2"/>
      <c r="H154" s="2"/>
      <c r="K154" s="2"/>
      <c r="M154" s="2"/>
    </row>
    <row r="155" spans="4:13" x14ac:dyDescent="0.25">
      <c r="E155" s="2"/>
      <c r="G155" s="2"/>
      <c r="H155" s="2"/>
      <c r="K155" s="2"/>
      <c r="M155" s="2"/>
    </row>
    <row r="156" spans="4:13" x14ac:dyDescent="0.25">
      <c r="E156" s="2"/>
      <c r="G156" s="2"/>
      <c r="H156" s="2"/>
      <c r="K156" s="2"/>
      <c r="M156" s="2"/>
    </row>
    <row r="157" spans="4:13" x14ac:dyDescent="0.25">
      <c r="E157" s="2"/>
      <c r="G157" s="2"/>
      <c r="H157" s="2"/>
      <c r="K157" s="2"/>
      <c r="M157" s="2"/>
    </row>
    <row r="158" spans="4:13" x14ac:dyDescent="0.25">
      <c r="E158" s="2"/>
      <c r="G158" s="2"/>
      <c r="H158" s="2"/>
      <c r="K158" s="2"/>
      <c r="M158" s="2"/>
    </row>
    <row r="159" spans="4:13" x14ac:dyDescent="0.25">
      <c r="E159" s="2"/>
      <c r="G159" s="2"/>
      <c r="H159" s="2"/>
      <c r="K159" s="2"/>
      <c r="M159" s="2"/>
    </row>
    <row r="160" spans="4:13" x14ac:dyDescent="0.25">
      <c r="D160" t="s">
        <v>23</v>
      </c>
      <c r="E160" s="2">
        <v>23</v>
      </c>
      <c r="F160" t="str">
        <f>SUBSTITUTE(D160, "          (big city)", "")</f>
        <v>Sarajevo to Frankfurt: 9</v>
      </c>
      <c r="G160" s="2">
        <f>FIND(" to ", F160)</f>
        <v>9</v>
      </c>
      <c r="H160" s="2">
        <f>FIND(":", F160)</f>
        <v>22</v>
      </c>
      <c r="I160" t="str">
        <f>LEFT(F160, G160-1)</f>
        <v>Sarajevo</v>
      </c>
      <c r="J160" t="str">
        <f>MID(F160, G160+4, 9999)</f>
        <v>Frankfurt: 9</v>
      </c>
      <c r="K160" s="2">
        <f>FIND(":", J160)</f>
        <v>10</v>
      </c>
      <c r="L160" t="str">
        <f>LEFT(J160, K160-1)</f>
        <v>Frankfurt</v>
      </c>
      <c r="M160" s="2" t="str">
        <f>RIGHT(F160, LEN(F160)-H160)</f>
        <v xml:space="preserve"> 9</v>
      </c>
    </row>
    <row r="161" spans="4:13" x14ac:dyDescent="0.25">
      <c r="E161" s="2"/>
      <c r="G161" s="2"/>
      <c r="H161" s="2"/>
      <c r="K161" s="2"/>
      <c r="M161" s="2"/>
    </row>
    <row r="162" spans="4:13" x14ac:dyDescent="0.25">
      <c r="E162" s="2"/>
      <c r="G162" s="2"/>
      <c r="H162" s="2"/>
      <c r="K162" s="2"/>
      <c r="M162" s="2"/>
    </row>
    <row r="163" spans="4:13" x14ac:dyDescent="0.25">
      <c r="E163" s="2"/>
      <c r="G163" s="2"/>
      <c r="H163" s="2"/>
      <c r="K163" s="2"/>
      <c r="M163" s="2"/>
    </row>
    <row r="164" spans="4:13" x14ac:dyDescent="0.25">
      <c r="E164" s="2"/>
      <c r="G164" s="2"/>
      <c r="H164" s="2"/>
      <c r="K164" s="2"/>
      <c r="M164" s="2"/>
    </row>
    <row r="165" spans="4:13" x14ac:dyDescent="0.25">
      <c r="E165" s="2"/>
      <c r="G165" s="2"/>
      <c r="H165" s="2"/>
      <c r="K165" s="2"/>
      <c r="M165" s="2"/>
    </row>
    <row r="166" spans="4:13" x14ac:dyDescent="0.25">
      <c r="E166" s="2"/>
      <c r="G166" s="2"/>
      <c r="H166" s="2"/>
      <c r="K166" s="2"/>
      <c r="M166" s="2"/>
    </row>
    <row r="167" spans="4:13" x14ac:dyDescent="0.25">
      <c r="D167" t="s">
        <v>24</v>
      </c>
      <c r="E167" s="2">
        <v>24</v>
      </c>
      <c r="F167" t="str">
        <f>SUBSTITUTE(D167, "          (big city)", "")</f>
        <v>Dieppe to Kobenhavn: 9</v>
      </c>
      <c r="G167" s="2">
        <f>FIND(" to ", F167)</f>
        <v>7</v>
      </c>
      <c r="H167" s="2">
        <f>FIND(":", F167)</f>
        <v>20</v>
      </c>
      <c r="I167" t="str">
        <f>LEFT(F167, G167-1)</f>
        <v>Dieppe</v>
      </c>
      <c r="J167" t="str">
        <f>MID(F167, G167+4, 9999)</f>
        <v>Kobenhavn: 9</v>
      </c>
      <c r="K167" s="2">
        <f>FIND(":", J167)</f>
        <v>10</v>
      </c>
      <c r="L167" t="str">
        <f>LEFT(J167, K167-1)</f>
        <v>Kobenhavn</v>
      </c>
      <c r="M167" s="2" t="str">
        <f>RIGHT(F167, LEN(F167)-H167)</f>
        <v xml:space="preserve"> 9</v>
      </c>
    </row>
    <row r="168" spans="4:13" x14ac:dyDescent="0.25">
      <c r="E168" s="2"/>
      <c r="G168" s="2"/>
      <c r="H168" s="2"/>
      <c r="K168" s="2"/>
      <c r="M168" s="2"/>
    </row>
    <row r="169" spans="4:13" x14ac:dyDescent="0.25">
      <c r="E169" s="2"/>
      <c r="G169" s="2"/>
      <c r="H169" s="2"/>
      <c r="K169" s="2"/>
      <c r="M169" s="2"/>
    </row>
    <row r="170" spans="4:13" x14ac:dyDescent="0.25">
      <c r="E170" s="2"/>
      <c r="G170" s="2"/>
      <c r="H170" s="2"/>
      <c r="K170" s="2"/>
      <c r="M170" s="2"/>
    </row>
    <row r="171" spans="4:13" x14ac:dyDescent="0.25">
      <c r="E171" s="2"/>
      <c r="G171" s="2"/>
      <c r="H171" s="2"/>
      <c r="K171" s="2"/>
      <c r="M171" s="2"/>
    </row>
    <row r="172" spans="4:13" x14ac:dyDescent="0.25">
      <c r="E172" s="2"/>
      <c r="G172" s="2"/>
      <c r="H172" s="2"/>
      <c r="K172" s="2"/>
      <c r="M172" s="2"/>
    </row>
    <row r="173" spans="4:13" x14ac:dyDescent="0.25">
      <c r="E173" s="2"/>
      <c r="G173" s="2"/>
      <c r="H173" s="2"/>
      <c r="K173" s="2"/>
      <c r="M173" s="2"/>
    </row>
    <row r="174" spans="4:13" s="1" customFormat="1" x14ac:dyDescent="0.25">
      <c r="D174" s="1" t="s">
        <v>25</v>
      </c>
      <c r="E174" s="24">
        <v>25</v>
      </c>
      <c r="F174" s="1" t="str">
        <f>SUBSTITUTE(D174, "          (big city)", "")</f>
        <v>Roma to Bucuresti: 10</v>
      </c>
      <c r="G174" s="24">
        <f>FIND(" to ", F174)</f>
        <v>5</v>
      </c>
      <c r="H174" s="24">
        <f>FIND(":", F174)</f>
        <v>18</v>
      </c>
      <c r="I174" s="1" t="str">
        <f>LEFT(F174, G174-1)</f>
        <v>Roma</v>
      </c>
      <c r="J174" s="1" t="str">
        <f>MID(F174, G174+4, 9999)</f>
        <v>Bucuresti: 10</v>
      </c>
      <c r="K174" s="24">
        <f>FIND(":", J174)</f>
        <v>10</v>
      </c>
      <c r="L174" s="1" t="str">
        <f>LEFT(J174, K174-1)</f>
        <v>Bucuresti</v>
      </c>
      <c r="M174" s="24" t="str">
        <f>RIGHT(F174, LEN(F174)-H174)</f>
        <v xml:space="preserve"> 10</v>
      </c>
    </row>
    <row r="175" spans="4:13" x14ac:dyDescent="0.25">
      <c r="E175" s="2"/>
      <c r="G175" s="2"/>
      <c r="H175" s="2"/>
      <c r="K175" s="2"/>
      <c r="M175" s="2"/>
    </row>
    <row r="176" spans="4:13" x14ac:dyDescent="0.25">
      <c r="E176" s="2"/>
      <c r="G176" s="2"/>
      <c r="H176" s="2"/>
      <c r="K176" s="2"/>
      <c r="M176" s="2"/>
    </row>
    <row r="177" spans="4:13" x14ac:dyDescent="0.25">
      <c r="E177" s="2"/>
      <c r="G177" s="2"/>
      <c r="H177" s="2"/>
      <c r="K177" s="2"/>
      <c r="M177" s="2"/>
    </row>
    <row r="178" spans="4:13" x14ac:dyDescent="0.25">
      <c r="E178" s="2"/>
      <c r="G178" s="2"/>
      <c r="H178" s="2"/>
      <c r="K178" s="2"/>
      <c r="M178" s="2"/>
    </row>
    <row r="179" spans="4:13" x14ac:dyDescent="0.25">
      <c r="E179" s="2"/>
      <c r="G179" s="2"/>
      <c r="H179" s="2"/>
      <c r="K179" s="2"/>
      <c r="M179" s="2"/>
    </row>
    <row r="180" spans="4:13" x14ac:dyDescent="0.25">
      <c r="E180" s="2"/>
      <c r="G180" s="2"/>
      <c r="H180" s="2"/>
      <c r="K180" s="2"/>
      <c r="M180" s="2"/>
    </row>
    <row r="181" spans="4:13" x14ac:dyDescent="0.25">
      <c r="D181" t="s">
        <v>26</v>
      </c>
      <c r="E181" s="2">
        <v>26</v>
      </c>
      <c r="F181" t="str">
        <f>SUBSTITUTE(D181, "          (big city)", "")</f>
        <v>Zagrab to Sevastopol: 10</v>
      </c>
      <c r="G181" s="2">
        <f>FIND(" to ", F181)</f>
        <v>7</v>
      </c>
      <c r="H181" s="2">
        <f>FIND(":", F181)</f>
        <v>21</v>
      </c>
      <c r="I181" t="str">
        <f>LEFT(F181, G181-1)</f>
        <v>Zagrab</v>
      </c>
      <c r="J181" t="str">
        <f>MID(F181, G181+4, 9999)</f>
        <v>Sevastopol: 10</v>
      </c>
      <c r="K181" s="2">
        <f>FIND(":", J181)</f>
        <v>11</v>
      </c>
      <c r="L181" t="str">
        <f>LEFT(J181, K181-1)</f>
        <v>Sevastopol</v>
      </c>
      <c r="M181" s="2" t="str">
        <f>RIGHT(F181, LEN(F181)-H181)</f>
        <v xml:space="preserve"> 10</v>
      </c>
    </row>
    <row r="182" spans="4:13" x14ac:dyDescent="0.25">
      <c r="E182" s="2"/>
      <c r="G182" s="2"/>
      <c r="H182" s="2"/>
      <c r="K182" s="2"/>
      <c r="M182" s="2"/>
    </row>
    <row r="183" spans="4:13" x14ac:dyDescent="0.25">
      <c r="E183" s="2"/>
      <c r="G183" s="2"/>
      <c r="H183" s="2"/>
      <c r="K183" s="2"/>
      <c r="M183" s="2"/>
    </row>
    <row r="184" spans="4:13" x14ac:dyDescent="0.25">
      <c r="E184" s="2"/>
      <c r="G184" s="2"/>
      <c r="H184" s="2"/>
      <c r="K184" s="2"/>
      <c r="M184" s="2"/>
    </row>
    <row r="185" spans="4:13" x14ac:dyDescent="0.25">
      <c r="E185" s="2"/>
      <c r="G185" s="2"/>
      <c r="H185" s="2"/>
      <c r="K185" s="2"/>
      <c r="M185" s="2"/>
    </row>
    <row r="186" spans="4:13" x14ac:dyDescent="0.25">
      <c r="E186" s="2"/>
      <c r="G186" s="2"/>
      <c r="H186" s="2"/>
      <c r="K186" s="2"/>
      <c r="M186" s="2"/>
    </row>
    <row r="187" spans="4:13" x14ac:dyDescent="0.25">
      <c r="E187" s="2"/>
      <c r="G187" s="2"/>
      <c r="H187" s="2"/>
      <c r="K187" s="2"/>
      <c r="M187" s="2"/>
    </row>
    <row r="188" spans="4:13" x14ac:dyDescent="0.25">
      <c r="D188" t="s">
        <v>27</v>
      </c>
      <c r="E188" s="2">
        <v>27</v>
      </c>
      <c r="F188" t="str">
        <f>SUBSTITUTE(D188, "          (big city)", "")</f>
        <v>Sofia to Warszawa: 10</v>
      </c>
      <c r="G188" s="2">
        <f>FIND(" to ", F188)</f>
        <v>6</v>
      </c>
      <c r="H188" s="2">
        <f>FIND(":", F188)</f>
        <v>18</v>
      </c>
      <c r="I188" t="str">
        <f>LEFT(F188, G188-1)</f>
        <v>Sofia</v>
      </c>
      <c r="J188" t="str">
        <f>MID(F188, G188+4, 9999)</f>
        <v>Warszawa: 10</v>
      </c>
      <c r="K188" s="2">
        <f>FIND(":", J188)</f>
        <v>9</v>
      </c>
      <c r="L188" t="str">
        <f>LEFT(J188, K188-1)</f>
        <v>Warszawa</v>
      </c>
      <c r="M188" s="2" t="str">
        <f>RIGHT(F188, LEN(F188)-H188)</f>
        <v xml:space="preserve"> 10</v>
      </c>
    </row>
    <row r="189" spans="4:13" x14ac:dyDescent="0.25">
      <c r="E189" s="2"/>
      <c r="G189" s="2"/>
      <c r="H189" s="2"/>
      <c r="K189" s="2"/>
      <c r="M189" s="2"/>
    </row>
    <row r="190" spans="4:13" x14ac:dyDescent="0.25">
      <c r="E190" s="2"/>
      <c r="G190" s="2"/>
      <c r="H190" s="2"/>
      <c r="K190" s="2"/>
      <c r="M190" s="2"/>
    </row>
    <row r="191" spans="4:13" x14ac:dyDescent="0.25">
      <c r="E191" s="2"/>
      <c r="G191" s="2"/>
      <c r="H191" s="2"/>
      <c r="K191" s="2"/>
      <c r="M191" s="2"/>
    </row>
    <row r="192" spans="4:13" x14ac:dyDescent="0.25">
      <c r="E192" s="2"/>
      <c r="G192" s="2"/>
      <c r="H192" s="2"/>
      <c r="K192" s="2"/>
      <c r="M192" s="2"/>
    </row>
    <row r="193" spans="4:13" x14ac:dyDescent="0.25">
      <c r="E193" s="2"/>
      <c r="G193" s="2"/>
      <c r="H193" s="2"/>
      <c r="K193" s="2"/>
      <c r="M193" s="2"/>
    </row>
    <row r="194" spans="4:13" x14ac:dyDescent="0.25">
      <c r="E194" s="2"/>
      <c r="G194" s="2"/>
      <c r="H194" s="2"/>
      <c r="K194" s="2"/>
      <c r="M194" s="2"/>
    </row>
    <row r="195" spans="4:13" x14ac:dyDescent="0.25">
      <c r="D195" t="s">
        <v>28</v>
      </c>
      <c r="E195" s="2">
        <v>28</v>
      </c>
      <c r="F195" t="str">
        <f>SUBSTITUTE(D195, "          (big city)", "")</f>
        <v>Budapest to London: 10</v>
      </c>
      <c r="G195" s="2">
        <f>FIND(" to ", F195)</f>
        <v>9</v>
      </c>
      <c r="H195" s="2">
        <f>FIND(":", F195)</f>
        <v>19</v>
      </c>
      <c r="I195" t="str">
        <f>LEFT(F195, G195-1)</f>
        <v>Budapest</v>
      </c>
      <c r="J195" t="str">
        <f>MID(F195, G195+4, 9999)</f>
        <v>London: 10</v>
      </c>
      <c r="K195" s="2">
        <f>FIND(":", J195)</f>
        <v>7</v>
      </c>
      <c r="L195" t="str">
        <f>LEFT(J195, K195-1)</f>
        <v>London</v>
      </c>
      <c r="M195" s="2" t="str">
        <f>RIGHT(F195, LEN(F195)-H195)</f>
        <v xml:space="preserve"> 10</v>
      </c>
    </row>
    <row r="196" spans="4:13" x14ac:dyDescent="0.25">
      <c r="E196" s="2"/>
      <c r="G196" s="2"/>
      <c r="H196" s="2"/>
      <c r="K196" s="2"/>
      <c r="M196" s="2"/>
    </row>
    <row r="197" spans="4:13" x14ac:dyDescent="0.25">
      <c r="E197" s="2"/>
      <c r="G197" s="2"/>
      <c r="H197" s="2"/>
      <c r="K197" s="2"/>
      <c r="M197" s="2"/>
    </row>
    <row r="198" spans="4:13" x14ac:dyDescent="0.25">
      <c r="E198" s="2"/>
      <c r="G198" s="2"/>
      <c r="H198" s="2"/>
      <c r="K198" s="2"/>
      <c r="M198" s="2"/>
    </row>
    <row r="199" spans="4:13" x14ac:dyDescent="0.25">
      <c r="E199" s="2"/>
      <c r="G199" s="2"/>
      <c r="H199" s="2"/>
      <c r="K199" s="2"/>
      <c r="M199" s="2"/>
    </row>
    <row r="200" spans="4:13" x14ac:dyDescent="0.25">
      <c r="E200" s="2"/>
      <c r="G200" s="2"/>
      <c r="H200" s="2"/>
      <c r="K200" s="2"/>
      <c r="M200" s="2"/>
    </row>
    <row r="201" spans="4:13" x14ac:dyDescent="0.25">
      <c r="E201" s="2"/>
      <c r="G201" s="2"/>
      <c r="H201" s="2"/>
      <c r="K201" s="2"/>
      <c r="M201" s="2"/>
    </row>
    <row r="202" spans="4:13" x14ac:dyDescent="0.25">
      <c r="D202" t="s">
        <v>29</v>
      </c>
      <c r="E202" s="2">
        <v>29</v>
      </c>
      <c r="F202" t="str">
        <f>SUBSTITUTE(D202, "          (big city)", "")</f>
        <v>Paris to Lisboa: 10</v>
      </c>
      <c r="G202" s="2">
        <f>FIND(" to ", F202)</f>
        <v>6</v>
      </c>
      <c r="H202" s="2">
        <f>FIND(":", F202)</f>
        <v>16</v>
      </c>
      <c r="I202" t="str">
        <f>LEFT(F202, G202-1)</f>
        <v>Paris</v>
      </c>
      <c r="J202" t="str">
        <f>MID(F202, G202+4, 9999)</f>
        <v>Lisboa: 10</v>
      </c>
      <c r="K202" s="2">
        <f>FIND(":", J202)</f>
        <v>7</v>
      </c>
      <c r="L202" t="str">
        <f>LEFT(J202, K202-1)</f>
        <v>Lisboa</v>
      </c>
      <c r="M202" s="2" t="str">
        <f>RIGHT(F202, LEN(F202)-H202)</f>
        <v xml:space="preserve"> 10</v>
      </c>
    </row>
    <row r="203" spans="4:13" x14ac:dyDescent="0.25">
      <c r="E203" s="2"/>
      <c r="G203" s="2"/>
      <c r="H203" s="2"/>
      <c r="K203" s="2"/>
      <c r="M203" s="2"/>
    </row>
    <row r="204" spans="4:13" x14ac:dyDescent="0.25">
      <c r="E204" s="2"/>
      <c r="G204" s="2"/>
      <c r="H204" s="2"/>
      <c r="K204" s="2"/>
      <c r="M204" s="2"/>
    </row>
    <row r="205" spans="4:13" x14ac:dyDescent="0.25">
      <c r="E205" s="2"/>
      <c r="G205" s="2"/>
      <c r="H205" s="2"/>
      <c r="K205" s="2"/>
      <c r="M205" s="2"/>
    </row>
    <row r="206" spans="4:13" x14ac:dyDescent="0.25">
      <c r="E206" s="2"/>
      <c r="G206" s="2"/>
      <c r="H206" s="2"/>
      <c r="K206" s="2"/>
      <c r="M206" s="2"/>
    </row>
    <row r="207" spans="4:13" x14ac:dyDescent="0.25">
      <c r="E207" s="2"/>
      <c r="G207" s="2"/>
      <c r="H207" s="2"/>
      <c r="K207" s="2"/>
      <c r="M207" s="2"/>
    </row>
    <row r="208" spans="4:13" x14ac:dyDescent="0.25">
      <c r="E208" s="2"/>
      <c r="G208" s="2"/>
      <c r="H208" s="2"/>
      <c r="K208" s="2"/>
      <c r="M208" s="2"/>
    </row>
    <row r="209" spans="4:13" x14ac:dyDescent="0.25">
      <c r="D209" t="s">
        <v>30</v>
      </c>
      <c r="E209" s="2">
        <v>30</v>
      </c>
      <c r="F209" t="str">
        <f>SUBSTITUTE(D209, "          (big city)", "")</f>
        <v>Paris to Danzic: 10</v>
      </c>
      <c r="G209" s="2">
        <f>FIND(" to ", F209)</f>
        <v>6</v>
      </c>
      <c r="H209" s="2">
        <f>FIND(":", F209)</f>
        <v>16</v>
      </c>
      <c r="I209" t="str">
        <f>LEFT(F209, G209-1)</f>
        <v>Paris</v>
      </c>
      <c r="J209" t="str">
        <f>MID(F209, G209+4, 9999)</f>
        <v>Danzic: 10</v>
      </c>
      <c r="K209" s="2">
        <f>FIND(":", J209)</f>
        <v>7</v>
      </c>
      <c r="L209" t="str">
        <f>LEFT(J209, K209-1)</f>
        <v>Danzic</v>
      </c>
      <c r="M209" s="2" t="str">
        <f>RIGHT(F209, LEN(F209)-H209)</f>
        <v xml:space="preserve"> 10</v>
      </c>
    </row>
    <row r="210" spans="4:13" x14ac:dyDescent="0.25">
      <c r="E210" s="2"/>
      <c r="G210" s="2"/>
      <c r="H210" s="2"/>
      <c r="K210" s="2"/>
      <c r="M210" s="2"/>
    </row>
    <row r="211" spans="4:13" x14ac:dyDescent="0.25">
      <c r="E211" s="2"/>
      <c r="G211" s="2"/>
      <c r="H211" s="2"/>
      <c r="K211" s="2"/>
      <c r="M211" s="2"/>
    </row>
    <row r="212" spans="4:13" x14ac:dyDescent="0.25">
      <c r="E212" s="2"/>
      <c r="G212" s="2"/>
      <c r="H212" s="2"/>
      <c r="K212" s="2"/>
      <c r="M212" s="2"/>
    </row>
    <row r="213" spans="4:13" x14ac:dyDescent="0.25">
      <c r="E213" s="2"/>
      <c r="G213" s="2"/>
      <c r="H213" s="2"/>
      <c r="K213" s="2"/>
      <c r="M213" s="2"/>
    </row>
    <row r="214" spans="4:13" x14ac:dyDescent="0.25">
      <c r="E214" s="2"/>
      <c r="G214" s="2"/>
      <c r="H214" s="2"/>
      <c r="K214" s="2"/>
      <c r="M214" s="2"/>
    </row>
    <row r="215" spans="4:13" x14ac:dyDescent="0.25">
      <c r="E215" s="2"/>
      <c r="G215" s="2"/>
      <c r="H215" s="2"/>
      <c r="K215" s="2"/>
      <c r="M215" s="2"/>
    </row>
    <row r="216" spans="4:13" x14ac:dyDescent="0.25">
      <c r="D216" t="s">
        <v>31</v>
      </c>
      <c r="E216" s="2">
        <v>31</v>
      </c>
      <c r="F216" t="str">
        <f>SUBSTITUTE(D216, "          (big city)", "")</f>
        <v>Smyrna to Wien: 10</v>
      </c>
      <c r="G216" s="2">
        <f>FIND(" to ", F216)</f>
        <v>7</v>
      </c>
      <c r="H216" s="2">
        <f>FIND(":", F216)</f>
        <v>15</v>
      </c>
      <c r="I216" t="str">
        <f>LEFT(F216, G216-1)</f>
        <v>Smyrna</v>
      </c>
      <c r="J216" t="str">
        <f>MID(F216, G216+4, 9999)</f>
        <v>Wien: 10</v>
      </c>
      <c r="K216" s="2">
        <f>FIND(":", J216)</f>
        <v>5</v>
      </c>
      <c r="L216" t="str">
        <f>LEFT(J216, K216-1)</f>
        <v>Wien</v>
      </c>
      <c r="M216" s="2" t="str">
        <f>RIGHT(F216, LEN(F216)-H216)</f>
        <v xml:space="preserve"> 10</v>
      </c>
    </row>
    <row r="217" spans="4:13" x14ac:dyDescent="0.25">
      <c r="E217" s="2"/>
      <c r="G217" s="2"/>
      <c r="H217" s="2"/>
      <c r="K217" s="2"/>
      <c r="M217" s="2"/>
    </row>
    <row r="218" spans="4:13" x14ac:dyDescent="0.25">
      <c r="E218" s="2"/>
      <c r="G218" s="2"/>
      <c r="H218" s="2"/>
      <c r="K218" s="2"/>
      <c r="M218" s="2"/>
    </row>
    <row r="219" spans="4:13" x14ac:dyDescent="0.25">
      <c r="E219" s="2"/>
      <c r="G219" s="2"/>
      <c r="H219" s="2"/>
      <c r="K219" s="2"/>
      <c r="M219" s="2"/>
    </row>
    <row r="220" spans="4:13" x14ac:dyDescent="0.25">
      <c r="E220" s="2"/>
      <c r="G220" s="2"/>
      <c r="H220" s="2"/>
      <c r="K220" s="2"/>
      <c r="M220" s="2"/>
    </row>
    <row r="221" spans="4:13" x14ac:dyDescent="0.25">
      <c r="E221" s="2"/>
      <c r="G221" s="2"/>
      <c r="H221" s="2"/>
      <c r="K221" s="2"/>
      <c r="M221" s="2"/>
    </row>
    <row r="222" spans="4:13" x14ac:dyDescent="0.25">
      <c r="E222" s="2"/>
      <c r="G222" s="2"/>
      <c r="H222" s="2"/>
      <c r="K222" s="2"/>
      <c r="M222" s="2"/>
    </row>
    <row r="223" spans="4:13" x14ac:dyDescent="0.25">
      <c r="D223" t="s">
        <v>32</v>
      </c>
      <c r="E223" s="2">
        <v>32</v>
      </c>
      <c r="F223" t="str">
        <f>SUBSTITUTE(D223, "          (big city)", "")</f>
        <v>Wien to Petrograd: 11</v>
      </c>
      <c r="G223" s="2">
        <f>FIND(" to ", F223)</f>
        <v>5</v>
      </c>
      <c r="H223" s="2">
        <f>FIND(":", F223)</f>
        <v>18</v>
      </c>
      <c r="I223" t="str">
        <f>LEFT(F223, G223-1)</f>
        <v>Wien</v>
      </c>
      <c r="J223" t="str">
        <f>MID(F223, G223+4, 9999)</f>
        <v>Petrograd: 11</v>
      </c>
      <c r="K223" s="2">
        <f>FIND(":", J223)</f>
        <v>10</v>
      </c>
      <c r="L223" t="str">
        <f>LEFT(J223, K223-1)</f>
        <v>Petrograd</v>
      </c>
      <c r="M223" s="2" t="str">
        <f>RIGHT(F223, LEN(F223)-H223)</f>
        <v xml:space="preserve"> 11</v>
      </c>
    </row>
    <row r="224" spans="4:13" x14ac:dyDescent="0.25">
      <c r="E224" s="2"/>
      <c r="G224" s="2"/>
      <c r="H224" s="2"/>
      <c r="K224" s="2"/>
      <c r="M224" s="2"/>
    </row>
    <row r="225" spans="4:13" x14ac:dyDescent="0.25">
      <c r="E225" s="2"/>
      <c r="G225" s="2"/>
      <c r="H225" s="2"/>
      <c r="K225" s="2"/>
      <c r="M225" s="2"/>
    </row>
    <row r="226" spans="4:13" x14ac:dyDescent="0.25">
      <c r="E226" s="2"/>
      <c r="G226" s="2"/>
      <c r="H226" s="2"/>
      <c r="K226" s="2"/>
      <c r="M226" s="2"/>
    </row>
    <row r="227" spans="4:13" x14ac:dyDescent="0.25">
      <c r="E227" s="2"/>
      <c r="G227" s="2"/>
      <c r="H227" s="2"/>
      <c r="K227" s="2"/>
      <c r="M227" s="2"/>
    </row>
    <row r="228" spans="4:13" x14ac:dyDescent="0.25">
      <c r="E228" s="2"/>
      <c r="G228" s="2"/>
      <c r="H228" s="2"/>
      <c r="K228" s="2"/>
      <c r="M228" s="2"/>
    </row>
    <row r="229" spans="4:13" x14ac:dyDescent="0.25">
      <c r="E229" s="2"/>
      <c r="G229" s="2"/>
      <c r="H229" s="2"/>
      <c r="K229" s="2"/>
      <c r="M229" s="2"/>
    </row>
    <row r="230" spans="4:13" x14ac:dyDescent="0.25">
      <c r="D230" t="s">
        <v>33</v>
      </c>
      <c r="E230" s="2">
        <v>33</v>
      </c>
      <c r="F230" t="str">
        <f>SUBSTITUTE(D230, "          (big city)", "")</f>
        <v>Frankfurt to Sofia: 11</v>
      </c>
      <c r="G230" s="2">
        <f>FIND(" to ", F230)</f>
        <v>10</v>
      </c>
      <c r="H230" s="2">
        <f>FIND(":", F230)</f>
        <v>19</v>
      </c>
      <c r="I230" t="str">
        <f>LEFT(F230, G230-1)</f>
        <v>Frankfurt</v>
      </c>
      <c r="J230" t="str">
        <f>MID(F230, G230+4, 9999)</f>
        <v>Sofia: 11</v>
      </c>
      <c r="K230" s="2">
        <f>FIND(":", J230)</f>
        <v>6</v>
      </c>
      <c r="L230" t="str">
        <f>LEFT(J230, K230-1)</f>
        <v>Sofia</v>
      </c>
      <c r="M230" s="2" t="str">
        <f>RIGHT(F230, LEN(F230)-H230)</f>
        <v xml:space="preserve"> 11</v>
      </c>
    </row>
    <row r="231" spans="4:13" x14ac:dyDescent="0.25">
      <c r="E231" s="2"/>
      <c r="G231" s="2"/>
      <c r="H231" s="2"/>
      <c r="K231" s="2"/>
      <c r="M231" s="2"/>
    </row>
    <row r="232" spans="4:13" x14ac:dyDescent="0.25">
      <c r="E232" s="2"/>
      <c r="G232" s="2"/>
      <c r="H232" s="2"/>
      <c r="K232" s="2"/>
      <c r="M232" s="2"/>
    </row>
    <row r="233" spans="4:13" x14ac:dyDescent="0.25">
      <c r="E233" s="2"/>
      <c r="G233" s="2"/>
      <c r="H233" s="2"/>
      <c r="K233" s="2"/>
      <c r="M233" s="2"/>
    </row>
    <row r="234" spans="4:13" x14ac:dyDescent="0.25">
      <c r="E234" s="2"/>
      <c r="G234" s="2"/>
      <c r="H234" s="2"/>
      <c r="K234" s="2"/>
      <c r="M234" s="2"/>
    </row>
    <row r="235" spans="4:13" x14ac:dyDescent="0.25">
      <c r="E235" s="2"/>
      <c r="G235" s="2"/>
      <c r="H235" s="2"/>
      <c r="K235" s="2"/>
      <c r="M235" s="2"/>
    </row>
    <row r="236" spans="4:13" x14ac:dyDescent="0.25">
      <c r="E236" s="2"/>
      <c r="G236" s="2"/>
      <c r="H236" s="2"/>
      <c r="K236" s="2"/>
      <c r="M236" s="2"/>
    </row>
    <row r="237" spans="4:13" x14ac:dyDescent="0.25">
      <c r="D237" t="s">
        <v>34</v>
      </c>
      <c r="E237" s="2">
        <v>34</v>
      </c>
      <c r="F237" t="str">
        <f>SUBSTITUTE(D237, "          (big city)", "")</f>
        <v>Zagrab to Rica: 11</v>
      </c>
      <c r="G237" s="2">
        <f>FIND(" to ", F237)</f>
        <v>7</v>
      </c>
      <c r="H237" s="2">
        <f>FIND(":", F237)</f>
        <v>15</v>
      </c>
      <c r="I237" t="str">
        <f>LEFT(F237, G237-1)</f>
        <v>Zagrab</v>
      </c>
      <c r="J237" t="str">
        <f>MID(F237, G237+4, 9999)</f>
        <v>Rica: 11</v>
      </c>
      <c r="K237" s="2">
        <f>FIND(":", J237)</f>
        <v>5</v>
      </c>
      <c r="L237" t="str">
        <f>LEFT(J237, K237-1)</f>
        <v>Rica</v>
      </c>
      <c r="M237" s="2" t="str">
        <f>RIGHT(F237, LEN(F237)-H237)</f>
        <v xml:space="preserve"> 11</v>
      </c>
    </row>
    <row r="238" spans="4:13" x14ac:dyDescent="0.25">
      <c r="E238" s="2"/>
      <c r="G238" s="2"/>
      <c r="H238" s="2"/>
      <c r="K238" s="2"/>
      <c r="M238" s="2"/>
    </row>
    <row r="239" spans="4:13" x14ac:dyDescent="0.25">
      <c r="E239" s="2"/>
      <c r="G239" s="2"/>
      <c r="H239" s="2"/>
      <c r="K239" s="2"/>
      <c r="M239" s="2"/>
    </row>
    <row r="240" spans="4:13" x14ac:dyDescent="0.25">
      <c r="E240" s="2"/>
      <c r="G240" s="2"/>
      <c r="H240" s="2"/>
      <c r="K240" s="2"/>
      <c r="M240" s="2"/>
    </row>
    <row r="241" spans="4:13" x14ac:dyDescent="0.25">
      <c r="E241" s="2"/>
      <c r="G241" s="2"/>
      <c r="H241" s="2"/>
      <c r="K241" s="2"/>
      <c r="M241" s="2"/>
    </row>
    <row r="242" spans="4:13" x14ac:dyDescent="0.25">
      <c r="E242" s="2"/>
      <c r="G242" s="2"/>
      <c r="H242" s="2"/>
      <c r="K242" s="2"/>
      <c r="M242" s="2"/>
    </row>
    <row r="243" spans="4:13" x14ac:dyDescent="0.25">
      <c r="E243" s="2"/>
      <c r="G243" s="2"/>
      <c r="H243" s="2"/>
      <c r="K243" s="2"/>
      <c r="M243" s="2"/>
    </row>
    <row r="244" spans="4:13" x14ac:dyDescent="0.25">
      <c r="D244" t="s">
        <v>35</v>
      </c>
      <c r="E244" s="2">
        <v>35</v>
      </c>
      <c r="F244" t="str">
        <f>SUBSTITUTE(D244, "          (big city)", "")</f>
        <v>Wien to Pamplona: 11</v>
      </c>
      <c r="G244" s="2">
        <f>FIND(" to ", F244)</f>
        <v>5</v>
      </c>
      <c r="H244" s="2">
        <f>FIND(":", F244)</f>
        <v>17</v>
      </c>
      <c r="I244" t="str">
        <f>LEFT(F244, G244-1)</f>
        <v>Wien</v>
      </c>
      <c r="J244" t="str">
        <f>MID(F244, G244+4, 9999)</f>
        <v>Pamplona: 11</v>
      </c>
      <c r="K244" s="2">
        <f>FIND(":", J244)</f>
        <v>9</v>
      </c>
      <c r="L244" t="str">
        <f>LEFT(J244, K244-1)</f>
        <v>Pamplona</v>
      </c>
      <c r="M244" s="2" t="str">
        <f>RIGHT(F244, LEN(F244)-H244)</f>
        <v xml:space="preserve"> 11</v>
      </c>
    </row>
    <row r="245" spans="4:13" x14ac:dyDescent="0.25">
      <c r="E245" s="2"/>
      <c r="G245" s="2"/>
      <c r="H245" s="2"/>
      <c r="K245" s="2"/>
      <c r="M245" s="2"/>
    </row>
    <row r="246" spans="4:13" x14ac:dyDescent="0.25">
      <c r="E246" s="2"/>
      <c r="G246" s="2"/>
      <c r="H246" s="2"/>
      <c r="K246" s="2"/>
      <c r="M246" s="2"/>
    </row>
    <row r="247" spans="4:13" x14ac:dyDescent="0.25">
      <c r="E247" s="2"/>
      <c r="G247" s="2"/>
      <c r="H247" s="2"/>
      <c r="K247" s="2"/>
      <c r="M247" s="2"/>
    </row>
    <row r="248" spans="4:13" x14ac:dyDescent="0.25">
      <c r="E248" s="2"/>
      <c r="G248" s="2"/>
      <c r="H248" s="2"/>
      <c r="K248" s="2"/>
      <c r="M248" s="2"/>
    </row>
    <row r="249" spans="4:13" x14ac:dyDescent="0.25">
      <c r="E249" s="2"/>
      <c r="G249" s="2"/>
      <c r="H249" s="2"/>
      <c r="K249" s="2"/>
      <c r="M249" s="2"/>
    </row>
    <row r="250" spans="4:13" x14ac:dyDescent="0.25">
      <c r="E250" s="2"/>
      <c r="G250" s="2"/>
      <c r="H250" s="2"/>
      <c r="K250" s="2"/>
      <c r="M250" s="2"/>
    </row>
    <row r="251" spans="4:13" x14ac:dyDescent="0.25">
      <c r="D251" t="s">
        <v>80</v>
      </c>
      <c r="E251" s="2">
        <v>36</v>
      </c>
      <c r="F251" t="str">
        <f>SUBSTITUTE(D251, "          (big city)", "")</f>
        <v>Palermo to Angora: 9</v>
      </c>
      <c r="G251" s="2">
        <f>FIND(" to ", F251)</f>
        <v>8</v>
      </c>
      <c r="H251" s="2">
        <f>FIND(":", F251)</f>
        <v>18</v>
      </c>
      <c r="I251" t="str">
        <f>LEFT(F251, G251-1)</f>
        <v>Palermo</v>
      </c>
      <c r="J251" t="str">
        <f>MID(F251, G251+4, 9999)</f>
        <v>Angora: 9</v>
      </c>
      <c r="K251" s="2">
        <f>FIND(":", J251)</f>
        <v>7</v>
      </c>
      <c r="L251" t="str">
        <f>LEFT(J251, K251-1)</f>
        <v>Angora</v>
      </c>
      <c r="M251" s="2" t="str">
        <f>RIGHT(F251, LEN(F251)-H251)</f>
        <v xml:space="preserve"> 9</v>
      </c>
    </row>
    <row r="252" spans="4:13" x14ac:dyDescent="0.25">
      <c r="E252" s="2"/>
      <c r="G252" s="2"/>
      <c r="H252" s="2"/>
      <c r="K252" s="2"/>
      <c r="M252" s="2"/>
    </row>
    <row r="253" spans="4:13" x14ac:dyDescent="0.25">
      <c r="E253" s="2"/>
      <c r="G253" s="2"/>
      <c r="H253" s="2"/>
      <c r="K253" s="2"/>
      <c r="M253" s="2"/>
    </row>
    <row r="254" spans="4:13" x14ac:dyDescent="0.25">
      <c r="E254" s="2"/>
      <c r="G254" s="2"/>
      <c r="H254" s="2"/>
      <c r="K254" s="2"/>
      <c r="M254" s="2"/>
    </row>
    <row r="255" spans="4:13" x14ac:dyDescent="0.25">
      <c r="E255" s="2"/>
      <c r="G255" s="2"/>
      <c r="H255" s="2"/>
      <c r="K255" s="2"/>
      <c r="M255" s="2"/>
    </row>
    <row r="256" spans="4:13" x14ac:dyDescent="0.25">
      <c r="E256" s="2"/>
      <c r="G256" s="2"/>
      <c r="H256" s="2"/>
      <c r="K256" s="2"/>
      <c r="M256" s="2"/>
    </row>
    <row r="257" spans="4:13" s="1" customFormat="1" x14ac:dyDescent="0.25">
      <c r="E257" s="24"/>
      <c r="G257" s="24"/>
      <c r="H257" s="24"/>
      <c r="K257" s="24"/>
      <c r="M257" s="24"/>
    </row>
    <row r="258" spans="4:13" x14ac:dyDescent="0.25">
      <c r="D258" t="s">
        <v>36</v>
      </c>
      <c r="E258" s="2">
        <v>37</v>
      </c>
      <c r="F258" t="str">
        <f>SUBSTITUTE(D258, "          (big city)", "")</f>
        <v>Angora to Smolensk: 12</v>
      </c>
      <c r="G258" s="2">
        <f>FIND(" to ", F258)</f>
        <v>7</v>
      </c>
      <c r="H258" s="2">
        <f>FIND(":", F258)</f>
        <v>19</v>
      </c>
      <c r="I258" t="str">
        <f>LEFT(F258, G258-1)</f>
        <v>Angora</v>
      </c>
      <c r="J258" t="str">
        <f>MID(F258, G258+4, 9999)</f>
        <v>Smolensk: 12</v>
      </c>
      <c r="K258" s="2">
        <f>FIND(":", J258)</f>
        <v>9</v>
      </c>
      <c r="L258" t="str">
        <f>LEFT(J258, K258-1)</f>
        <v>Smolensk</v>
      </c>
      <c r="M258" s="2" t="str">
        <f>RIGHT(F258, LEN(F258)-H258)</f>
        <v xml:space="preserve"> 12</v>
      </c>
    </row>
    <row r="259" spans="4:13" x14ac:dyDescent="0.25">
      <c r="E259" s="2"/>
      <c r="G259" s="2"/>
      <c r="H259" s="2"/>
      <c r="K259" s="2"/>
      <c r="M259" s="2"/>
    </row>
    <row r="260" spans="4:13" x14ac:dyDescent="0.25">
      <c r="E260" s="2"/>
      <c r="G260" s="2"/>
      <c r="H260" s="2"/>
      <c r="K260" s="2"/>
      <c r="M260" s="2"/>
    </row>
    <row r="261" spans="4:13" x14ac:dyDescent="0.25">
      <c r="E261" s="2"/>
      <c r="G261" s="2"/>
      <c r="H261" s="2"/>
      <c r="K261" s="2"/>
      <c r="M261" s="2"/>
    </row>
    <row r="262" spans="4:13" x14ac:dyDescent="0.25">
      <c r="E262" s="2"/>
      <c r="G262" s="2"/>
      <c r="H262" s="2"/>
      <c r="K262" s="2"/>
      <c r="M262" s="2"/>
    </row>
    <row r="263" spans="4:13" x14ac:dyDescent="0.25">
      <c r="E263" s="2"/>
      <c r="G263" s="2"/>
      <c r="H263" s="2"/>
      <c r="K263" s="2"/>
      <c r="M263" s="2"/>
    </row>
    <row r="264" spans="4:13" x14ac:dyDescent="0.25">
      <c r="E264" s="2"/>
      <c r="G264" s="2"/>
      <c r="H264" s="2"/>
      <c r="K264" s="2"/>
      <c r="M264" s="2"/>
    </row>
    <row r="265" spans="4:13" x14ac:dyDescent="0.25">
      <c r="D265" t="s">
        <v>37</v>
      </c>
      <c r="E265" s="2">
        <v>38</v>
      </c>
      <c r="F265" t="str">
        <f>SUBSTITUTE(D265, "          (big city)", "")</f>
        <v>Wilno to Kobenhavn: 12</v>
      </c>
      <c r="G265" s="2">
        <f>FIND(" to ", F265)</f>
        <v>6</v>
      </c>
      <c r="H265" s="2">
        <f>FIND(":", F265)</f>
        <v>19</v>
      </c>
      <c r="I265" t="str">
        <f>LEFT(F265, G265-1)</f>
        <v>Wilno</v>
      </c>
      <c r="J265" t="str">
        <f>MID(F265, G265+4, 9999)</f>
        <v>Kobenhavn: 12</v>
      </c>
      <c r="K265" s="2">
        <f>FIND(":", J265)</f>
        <v>10</v>
      </c>
      <c r="L265" t="str">
        <f>LEFT(J265, K265-1)</f>
        <v>Kobenhavn</v>
      </c>
      <c r="M265" s="2" t="str">
        <f>RIGHT(F265, LEN(F265)-H265)</f>
        <v xml:space="preserve"> 12</v>
      </c>
    </row>
    <row r="266" spans="4:13" x14ac:dyDescent="0.25">
      <c r="E266" s="2"/>
      <c r="G266" s="2"/>
      <c r="H266" s="2"/>
      <c r="K266" s="2"/>
      <c r="M266" s="2"/>
    </row>
    <row r="267" spans="4:13" x14ac:dyDescent="0.25">
      <c r="E267" s="2"/>
      <c r="G267" s="2"/>
      <c r="H267" s="2"/>
      <c r="K267" s="2"/>
      <c r="M267" s="2"/>
    </row>
    <row r="268" spans="4:13" x14ac:dyDescent="0.25">
      <c r="E268" s="2"/>
      <c r="G268" s="2"/>
      <c r="H268" s="2"/>
      <c r="K268" s="2"/>
      <c r="M268" s="2"/>
    </row>
    <row r="269" spans="4:13" x14ac:dyDescent="0.25">
      <c r="E269" s="2"/>
      <c r="G269" s="2"/>
      <c r="H269" s="2"/>
      <c r="K269" s="2"/>
      <c r="M269" s="2"/>
    </row>
    <row r="270" spans="4:13" x14ac:dyDescent="0.25">
      <c r="E270" s="2"/>
      <c r="G270" s="2"/>
      <c r="H270" s="2"/>
      <c r="K270" s="2"/>
      <c r="M270" s="2"/>
    </row>
    <row r="271" spans="4:13" x14ac:dyDescent="0.25">
      <c r="E271" s="2"/>
      <c r="G271" s="2"/>
      <c r="H271" s="2"/>
      <c r="K271" s="2"/>
      <c r="M271" s="2"/>
    </row>
    <row r="272" spans="4:13" x14ac:dyDescent="0.25">
      <c r="D272" t="s">
        <v>38</v>
      </c>
      <c r="E272" s="2">
        <v>39</v>
      </c>
      <c r="F272" t="str">
        <f>SUBSTITUTE(D272, "          (big city)", "")</f>
        <v>Pamplona to Palermo: 12</v>
      </c>
      <c r="G272" s="2">
        <f>FIND(" to ", F272)</f>
        <v>9</v>
      </c>
      <c r="H272" s="2">
        <f>FIND(":", F272)</f>
        <v>20</v>
      </c>
      <c r="I272" t="str">
        <f>LEFT(F272, G272-1)</f>
        <v>Pamplona</v>
      </c>
      <c r="J272" t="str">
        <f>MID(F272, G272+4, 9999)</f>
        <v>Palermo: 12</v>
      </c>
      <c r="K272" s="2">
        <f>FIND(":", J272)</f>
        <v>8</v>
      </c>
      <c r="L272" t="str">
        <f>LEFT(J272, K272-1)</f>
        <v>Palermo</v>
      </c>
      <c r="M272" s="2" t="str">
        <f>RIGHT(F272, LEN(F272)-H272)</f>
        <v xml:space="preserve"> 12</v>
      </c>
    </row>
    <row r="273" spans="4:13" x14ac:dyDescent="0.25">
      <c r="E273" s="2"/>
      <c r="G273" s="2"/>
      <c r="H273" s="2"/>
      <c r="K273" s="2"/>
      <c r="M273" s="2"/>
    </row>
    <row r="274" spans="4:13" x14ac:dyDescent="0.25">
      <c r="E274" s="2"/>
      <c r="G274" s="2"/>
      <c r="H274" s="2"/>
      <c r="K274" s="2"/>
      <c r="M274" s="2"/>
    </row>
    <row r="275" spans="4:13" x14ac:dyDescent="0.25">
      <c r="E275" s="2"/>
      <c r="G275" s="2"/>
      <c r="H275" s="2"/>
      <c r="K275" s="2"/>
      <c r="M275" s="2"/>
    </row>
    <row r="276" spans="4:13" x14ac:dyDescent="0.25">
      <c r="E276" s="2"/>
      <c r="G276" s="2"/>
      <c r="H276" s="2"/>
      <c r="K276" s="2"/>
      <c r="M276" s="2"/>
    </row>
    <row r="277" spans="4:13" x14ac:dyDescent="0.25">
      <c r="E277" s="2"/>
      <c r="G277" s="2"/>
      <c r="H277" s="2"/>
      <c r="K277" s="2"/>
      <c r="M277" s="2"/>
    </row>
    <row r="278" spans="4:13" x14ac:dyDescent="0.25">
      <c r="E278" s="2"/>
      <c r="G278" s="2"/>
      <c r="H278" s="2"/>
      <c r="K278" s="2"/>
      <c r="M278" s="2"/>
    </row>
    <row r="279" spans="4:13" x14ac:dyDescent="0.25">
      <c r="D279" t="s">
        <v>39</v>
      </c>
      <c r="E279" s="2">
        <v>40</v>
      </c>
      <c r="F279" t="str">
        <f>SUBSTITUTE(D279, "          (big city)", "")</f>
        <v>Roma to Kyiv: 12</v>
      </c>
      <c r="G279" s="2">
        <f>FIND(" to ", F279)</f>
        <v>5</v>
      </c>
      <c r="H279" s="2">
        <f>FIND(":", F279)</f>
        <v>13</v>
      </c>
      <c r="I279" t="str">
        <f>LEFT(F279, G279-1)</f>
        <v>Roma</v>
      </c>
      <c r="J279" t="str">
        <f>MID(F279, G279+4, 9999)</f>
        <v>Kyiv: 12</v>
      </c>
      <c r="K279" s="2">
        <f>FIND(":", J279)</f>
        <v>5</v>
      </c>
      <c r="L279" t="str">
        <f>LEFT(J279, K279-1)</f>
        <v>Kyiv</v>
      </c>
      <c r="M279" s="2" t="str">
        <f>RIGHT(F279, LEN(F279)-H279)</f>
        <v xml:space="preserve"> 12</v>
      </c>
    </row>
    <row r="280" spans="4:13" x14ac:dyDescent="0.25">
      <c r="E280" s="2"/>
      <c r="G280" s="2"/>
      <c r="H280" s="2"/>
      <c r="K280" s="2"/>
      <c r="M280" s="2"/>
    </row>
    <row r="281" spans="4:13" x14ac:dyDescent="0.25">
      <c r="E281" s="2"/>
      <c r="G281" s="2"/>
      <c r="H281" s="2"/>
      <c r="K281" s="2"/>
      <c r="M281" s="2"/>
    </row>
    <row r="282" spans="4:13" x14ac:dyDescent="0.25">
      <c r="E282" s="2"/>
      <c r="G282" s="2"/>
      <c r="H282" s="2"/>
      <c r="K282" s="2"/>
      <c r="M282" s="2"/>
    </row>
    <row r="283" spans="4:13" x14ac:dyDescent="0.25">
      <c r="E283" s="2"/>
      <c r="G283" s="2"/>
      <c r="H283" s="2"/>
      <c r="K283" s="2"/>
      <c r="M283" s="2"/>
    </row>
    <row r="284" spans="4:13" x14ac:dyDescent="0.25">
      <c r="E284" s="2"/>
      <c r="G284" s="2"/>
      <c r="H284" s="2"/>
      <c r="K284" s="2"/>
      <c r="M284" s="2"/>
    </row>
    <row r="285" spans="4:13" x14ac:dyDescent="0.25">
      <c r="E285" s="2"/>
      <c r="G285" s="2"/>
      <c r="H285" s="2"/>
      <c r="K285" s="2"/>
      <c r="M285" s="2"/>
    </row>
    <row r="286" spans="4:13" x14ac:dyDescent="0.25">
      <c r="D286" t="s">
        <v>40</v>
      </c>
      <c r="E286" s="2">
        <v>41</v>
      </c>
      <c r="F286" t="str">
        <f>SUBSTITUTE(D286, "          (big city)", "")</f>
        <v>Sevastopol to Brindisi: 12</v>
      </c>
      <c r="G286" s="2">
        <f>FIND(" to ", F286)</f>
        <v>11</v>
      </c>
      <c r="H286" s="2">
        <f>FIND(":", F286)</f>
        <v>23</v>
      </c>
      <c r="I286" t="str">
        <f>LEFT(F286, G286-1)</f>
        <v>Sevastopol</v>
      </c>
      <c r="J286" t="str">
        <f>MID(F286, G286+4, 9999)</f>
        <v>Brindisi: 12</v>
      </c>
      <c r="K286" s="2">
        <f>FIND(":", J286)</f>
        <v>9</v>
      </c>
      <c r="L286" t="str">
        <f>LEFT(J286, K286-1)</f>
        <v>Brindisi</v>
      </c>
      <c r="M286" s="2" t="str">
        <f>RIGHT(F286, LEN(F286)-H286)</f>
        <v xml:space="preserve"> 12</v>
      </c>
    </row>
    <row r="287" spans="4:13" x14ac:dyDescent="0.25">
      <c r="E287" s="2"/>
      <c r="G287" s="2"/>
      <c r="H287" s="2"/>
      <c r="K287" s="2"/>
      <c r="M287" s="2"/>
    </row>
    <row r="288" spans="4:13" x14ac:dyDescent="0.25">
      <c r="E288" s="2"/>
      <c r="G288" s="2"/>
      <c r="H288" s="2"/>
      <c r="K288" s="2"/>
      <c r="M288" s="2"/>
    </row>
    <row r="289" spans="4:13" x14ac:dyDescent="0.25">
      <c r="E289" s="2"/>
      <c r="G289" s="2"/>
      <c r="H289" s="2"/>
      <c r="K289" s="2"/>
      <c r="M289" s="2"/>
    </row>
    <row r="290" spans="4:13" x14ac:dyDescent="0.25">
      <c r="E290" s="2"/>
      <c r="G290" s="2"/>
      <c r="H290" s="2"/>
      <c r="K290" s="2"/>
      <c r="M290" s="2"/>
    </row>
    <row r="291" spans="4:13" x14ac:dyDescent="0.25">
      <c r="E291" s="2"/>
      <c r="G291" s="2"/>
      <c r="H291" s="2"/>
      <c r="K291" s="2"/>
      <c r="M291" s="2"/>
    </row>
    <row r="292" spans="4:13" x14ac:dyDescent="0.25">
      <c r="E292" s="2"/>
      <c r="G292" s="2"/>
      <c r="H292" s="2"/>
      <c r="K292" s="2"/>
      <c r="M292" s="2"/>
    </row>
    <row r="293" spans="4:13" x14ac:dyDescent="0.25">
      <c r="D293" t="s">
        <v>41</v>
      </c>
      <c r="E293" s="2">
        <v>42</v>
      </c>
      <c r="F293" t="str">
        <f>SUBSTITUTE(D293, "          (big city)", "")</f>
        <v>Budapest to Petrograd: 12</v>
      </c>
      <c r="G293" s="2">
        <f>FIND(" to ", F293)</f>
        <v>9</v>
      </c>
      <c r="H293" s="2">
        <f>FIND(":", F293)</f>
        <v>22</v>
      </c>
      <c r="I293" t="str">
        <f>LEFT(F293, G293-1)</f>
        <v>Budapest</v>
      </c>
      <c r="J293" t="str">
        <f>MID(F293, G293+4, 9999)</f>
        <v>Petrograd: 12</v>
      </c>
      <c r="K293" s="2">
        <f>FIND(":", J293)</f>
        <v>10</v>
      </c>
      <c r="L293" t="str">
        <f>LEFT(J293, K293-1)</f>
        <v>Petrograd</v>
      </c>
      <c r="M293" s="2" t="str">
        <f>RIGHT(F293, LEN(F293)-H293)</f>
        <v xml:space="preserve"> 12</v>
      </c>
    </row>
    <row r="294" spans="4:13" x14ac:dyDescent="0.25">
      <c r="E294" s="2"/>
      <c r="G294" s="2"/>
      <c r="H294" s="2"/>
      <c r="K294" s="2"/>
      <c r="M294" s="2"/>
    </row>
    <row r="295" spans="4:13" x14ac:dyDescent="0.25">
      <c r="E295" s="2"/>
      <c r="G295" s="2"/>
      <c r="H295" s="2"/>
      <c r="K295" s="2"/>
      <c r="M295" s="2"/>
    </row>
    <row r="296" spans="4:13" x14ac:dyDescent="0.25">
      <c r="E296" s="2"/>
      <c r="G296" s="2"/>
      <c r="H296" s="2"/>
      <c r="K296" s="2"/>
      <c r="M296" s="2"/>
    </row>
    <row r="297" spans="4:13" x14ac:dyDescent="0.25">
      <c r="E297" s="2"/>
      <c r="G297" s="2"/>
      <c r="H297" s="2"/>
      <c r="K297" s="2"/>
      <c r="M297" s="2"/>
    </row>
    <row r="298" spans="4:13" x14ac:dyDescent="0.25">
      <c r="E298" s="2"/>
      <c r="G298" s="2"/>
      <c r="H298" s="2"/>
      <c r="K298" s="2"/>
      <c r="M298" s="2"/>
    </row>
    <row r="299" spans="4:13" x14ac:dyDescent="0.25">
      <c r="E299" s="2"/>
      <c r="G299" s="2"/>
      <c r="H299" s="2"/>
      <c r="K299" s="2"/>
      <c r="M299" s="2"/>
    </row>
    <row r="300" spans="4:13" x14ac:dyDescent="0.25">
      <c r="D300" t="s">
        <v>42</v>
      </c>
      <c r="E300" s="2">
        <v>43</v>
      </c>
      <c r="F300" t="str">
        <f>SUBSTITUTE(D300, "          (big city)", "")</f>
        <v>Zurich to Constantinople: 12</v>
      </c>
      <c r="G300" s="2">
        <f>FIND(" to ", F300)</f>
        <v>7</v>
      </c>
      <c r="H300" s="2">
        <f>FIND(":", F300)</f>
        <v>25</v>
      </c>
      <c r="I300" t="str">
        <f>LEFT(F300, G300-1)</f>
        <v>Zurich</v>
      </c>
      <c r="J300" t="str">
        <f>MID(F300, G300+4, 9999)</f>
        <v>Constantinople: 12</v>
      </c>
      <c r="K300" s="2">
        <f>FIND(":", J300)</f>
        <v>15</v>
      </c>
      <c r="L300" t="str">
        <f>LEFT(J300, K300-1)</f>
        <v>Constantinople</v>
      </c>
      <c r="M300" s="2" t="str">
        <f>RIGHT(F300, LEN(F300)-H300)</f>
        <v xml:space="preserve"> 12</v>
      </c>
    </row>
    <row r="301" spans="4:13" x14ac:dyDescent="0.25">
      <c r="E301" s="2"/>
      <c r="G301" s="2"/>
      <c r="H301" s="2"/>
      <c r="K301" s="2"/>
      <c r="M301" s="2"/>
    </row>
    <row r="302" spans="4:13" x14ac:dyDescent="0.25">
      <c r="E302" s="2"/>
      <c r="G302" s="2"/>
      <c r="H302" s="2"/>
      <c r="K302" s="2"/>
      <c r="M302" s="2"/>
    </row>
    <row r="303" spans="4:13" x14ac:dyDescent="0.25">
      <c r="E303" s="2"/>
      <c r="G303" s="2"/>
      <c r="H303" s="2"/>
      <c r="K303" s="2"/>
      <c r="M303" s="2"/>
    </row>
    <row r="304" spans="4:13" x14ac:dyDescent="0.25">
      <c r="E304" s="2"/>
      <c r="G304" s="2"/>
      <c r="H304" s="2"/>
      <c r="K304" s="2"/>
      <c r="M304" s="2"/>
    </row>
    <row r="305" spans="4:13" x14ac:dyDescent="0.25">
      <c r="E305" s="2"/>
      <c r="G305" s="2"/>
      <c r="H305" s="2"/>
      <c r="K305" s="2"/>
      <c r="M305" s="2"/>
    </row>
    <row r="306" spans="4:13" x14ac:dyDescent="0.25">
      <c r="E306" s="2"/>
      <c r="G306" s="2"/>
      <c r="H306" s="2"/>
      <c r="K306" s="2"/>
      <c r="M306" s="2"/>
    </row>
    <row r="307" spans="4:13" x14ac:dyDescent="0.25">
      <c r="D307" t="s">
        <v>43</v>
      </c>
      <c r="E307" s="2">
        <v>44</v>
      </c>
      <c r="F307" t="str">
        <f>SUBSTITUTE(D307, "          (big city)", "")</f>
        <v>Marseille to Danzic: 13</v>
      </c>
      <c r="G307" s="2">
        <f>FIND(" to ", F307)</f>
        <v>10</v>
      </c>
      <c r="H307" s="2">
        <f>FIND(":", F307)</f>
        <v>20</v>
      </c>
      <c r="I307" t="str">
        <f>LEFT(F307, G307-1)</f>
        <v>Marseille</v>
      </c>
      <c r="J307" t="str">
        <f>MID(F307, G307+4, 9999)</f>
        <v>Danzic: 13</v>
      </c>
      <c r="K307" s="2">
        <f>FIND(":", J307)</f>
        <v>7</v>
      </c>
      <c r="L307" t="str">
        <f>LEFT(J307, K307-1)</f>
        <v>Danzic</v>
      </c>
      <c r="M307" s="2" t="str">
        <f>RIGHT(F307, LEN(F307)-H307)</f>
        <v xml:space="preserve"> 13</v>
      </c>
    </row>
    <row r="308" spans="4:13" x14ac:dyDescent="0.25">
      <c r="E308" s="2"/>
      <c r="G308" s="2"/>
      <c r="H308" s="2"/>
      <c r="K308" s="2"/>
      <c r="M308" s="2"/>
    </row>
    <row r="309" spans="4:13" x14ac:dyDescent="0.25">
      <c r="E309" s="2"/>
      <c r="G309" s="2"/>
      <c r="H309" s="2"/>
      <c r="K309" s="2"/>
      <c r="M309" s="2"/>
    </row>
    <row r="310" spans="4:13" x14ac:dyDescent="0.25">
      <c r="E310" s="2"/>
      <c r="G310" s="2"/>
      <c r="H310" s="2"/>
      <c r="K310" s="2"/>
      <c r="M310" s="2"/>
    </row>
    <row r="311" spans="4:13" x14ac:dyDescent="0.25">
      <c r="E311" s="2"/>
      <c r="G311" s="2"/>
      <c r="H311" s="2"/>
      <c r="K311" s="2"/>
      <c r="M311" s="2"/>
    </row>
    <row r="312" spans="4:13" x14ac:dyDescent="0.25">
      <c r="E312" s="2"/>
      <c r="G312" s="2"/>
      <c r="H312" s="2"/>
      <c r="K312" s="2"/>
      <c r="M312" s="2"/>
    </row>
    <row r="313" spans="4:13" x14ac:dyDescent="0.25">
      <c r="E313" s="2"/>
      <c r="G313" s="2"/>
      <c r="H313" s="2"/>
      <c r="K313" s="2"/>
      <c r="M313" s="2"/>
    </row>
    <row r="314" spans="4:13" x14ac:dyDescent="0.25">
      <c r="D314" t="s">
        <v>82</v>
      </c>
      <c r="E314" s="2">
        <v>45</v>
      </c>
      <c r="F314" t="str">
        <f>SUBSTITUTE(D314, "          (big city)", "")</f>
        <v>London to Roma: 10</v>
      </c>
      <c r="G314" s="2">
        <f>FIND(" to ", F314)</f>
        <v>7</v>
      </c>
      <c r="H314" s="2">
        <f>FIND(":", F314)</f>
        <v>15</v>
      </c>
      <c r="I314" t="str">
        <f>LEFT(F314, G314-1)</f>
        <v>London</v>
      </c>
      <c r="J314" t="str">
        <f>MID(F314, G314+4, 9999)</f>
        <v>Roma: 10</v>
      </c>
      <c r="K314" s="2">
        <f>FIND(":", J314)</f>
        <v>5</v>
      </c>
      <c r="L314" t="str">
        <f>LEFT(J314, K314-1)</f>
        <v>Roma</v>
      </c>
      <c r="M314" s="2" t="str">
        <f>RIGHT(F314, LEN(F314)-H314)</f>
        <v xml:space="preserve"> 10</v>
      </c>
    </row>
    <row r="315" spans="4:13" x14ac:dyDescent="0.25">
      <c r="E315" s="2"/>
      <c r="G315" s="2"/>
      <c r="H315" s="2"/>
      <c r="K315" s="2"/>
      <c r="M315" s="2"/>
    </row>
    <row r="316" spans="4:13" x14ac:dyDescent="0.25">
      <c r="E316" s="2"/>
      <c r="G316" s="2"/>
      <c r="H316" s="2"/>
      <c r="K316" s="2"/>
      <c r="M316" s="2"/>
    </row>
    <row r="317" spans="4:13" x14ac:dyDescent="0.25">
      <c r="E317" s="2"/>
      <c r="G317" s="2"/>
      <c r="H317" s="2"/>
      <c r="K317" s="2"/>
      <c r="M317" s="2"/>
    </row>
    <row r="318" spans="4:13" x14ac:dyDescent="0.25">
      <c r="E318" s="2"/>
      <c r="G318" s="2"/>
      <c r="H318" s="2"/>
      <c r="K318" s="2"/>
      <c r="M318" s="2"/>
    </row>
    <row r="319" spans="4:13" x14ac:dyDescent="0.25">
      <c r="E319" s="2"/>
      <c r="G319" s="2"/>
      <c r="H319" s="2"/>
      <c r="K319" s="2"/>
      <c r="M319" s="2"/>
    </row>
    <row r="320" spans="4:13" x14ac:dyDescent="0.25">
      <c r="E320" s="2"/>
      <c r="G320" s="2"/>
      <c r="H320" s="2"/>
      <c r="K320" s="2"/>
      <c r="M320" s="2"/>
    </row>
    <row r="321" spans="4:13" x14ac:dyDescent="0.25">
      <c r="D321" t="s">
        <v>44</v>
      </c>
      <c r="E321" s="2">
        <v>46</v>
      </c>
      <c r="F321" t="str">
        <f>SUBSTITUTE(D321, "          (big city)", "")</f>
        <v>Stockholm to Zagrab: 13</v>
      </c>
      <c r="G321" s="2">
        <f>FIND(" to ", F321)</f>
        <v>10</v>
      </c>
      <c r="H321" s="2">
        <f>FIND(":", F321)</f>
        <v>20</v>
      </c>
      <c r="I321" t="str">
        <f>LEFT(F321, G321-1)</f>
        <v>Stockholm</v>
      </c>
      <c r="J321" t="str">
        <f>MID(F321, G321+4, 9999)</f>
        <v>Zagrab: 13</v>
      </c>
      <c r="K321" s="2">
        <f>FIND(":", J321)</f>
        <v>7</v>
      </c>
      <c r="L321" t="str">
        <f>LEFT(J321, K321-1)</f>
        <v>Zagrab</v>
      </c>
      <c r="M321" s="2" t="str">
        <f>RIGHT(F321, LEN(F321)-H321)</f>
        <v xml:space="preserve"> 13</v>
      </c>
    </row>
    <row r="322" spans="4:13" x14ac:dyDescent="0.25">
      <c r="E322" s="2"/>
      <c r="G322" s="2"/>
      <c r="H322" s="2"/>
      <c r="K322" s="2"/>
      <c r="M322" s="2"/>
    </row>
    <row r="323" spans="4:13" x14ac:dyDescent="0.25">
      <c r="E323" s="2"/>
      <c r="G323" s="2"/>
      <c r="H323" s="2"/>
      <c r="K323" s="2"/>
      <c r="M323" s="2"/>
    </row>
    <row r="324" spans="4:13" x14ac:dyDescent="0.25">
      <c r="E324" s="2"/>
      <c r="G324" s="2"/>
      <c r="H324" s="2"/>
      <c r="K324" s="2"/>
      <c r="M324" s="2"/>
    </row>
    <row r="325" spans="4:13" x14ac:dyDescent="0.25">
      <c r="E325" s="2"/>
      <c r="G325" s="2"/>
      <c r="H325" s="2"/>
      <c r="K325" s="2"/>
      <c r="M325" s="2"/>
    </row>
    <row r="326" spans="4:13" x14ac:dyDescent="0.25">
      <c r="E326" s="2"/>
      <c r="G326" s="2"/>
      <c r="H326" s="2"/>
      <c r="K326" s="2"/>
      <c r="M326" s="2"/>
    </row>
    <row r="327" spans="4:13" x14ac:dyDescent="0.25">
      <c r="E327" s="2"/>
      <c r="G327" s="2"/>
      <c r="H327" s="2"/>
      <c r="K327" s="2"/>
      <c r="M327" s="2"/>
    </row>
    <row r="328" spans="4:13" x14ac:dyDescent="0.25">
      <c r="D328" t="s">
        <v>81</v>
      </c>
      <c r="E328" s="2">
        <v>47</v>
      </c>
      <c r="F328" t="str">
        <f>SUBSTITUTE(D328, "          (big city)", "")</f>
        <v>Kharkov to Sochi: 4</v>
      </c>
      <c r="G328" s="2">
        <f>FIND(" to ", F328)</f>
        <v>8</v>
      </c>
      <c r="H328" s="2">
        <f>FIND(":", F328)</f>
        <v>17</v>
      </c>
      <c r="I328" t="str">
        <f>LEFT(F328, G328-1)</f>
        <v>Kharkov</v>
      </c>
      <c r="J328" t="str">
        <f>MID(F328, G328+4, 9999)</f>
        <v>Sochi: 4</v>
      </c>
      <c r="K328" s="2">
        <f>FIND(":", J328)</f>
        <v>6</v>
      </c>
      <c r="L328" t="str">
        <f>LEFT(J328, K328-1)</f>
        <v>Sochi</v>
      </c>
      <c r="M328" s="2" t="str">
        <f>RIGHT(F328, LEN(F328)-H328)</f>
        <v xml:space="preserve"> 4</v>
      </c>
    </row>
    <row r="329" spans="4:13" x14ac:dyDescent="0.25">
      <c r="E329" s="2"/>
      <c r="G329" s="2"/>
      <c r="H329" s="2"/>
      <c r="K329" s="2"/>
      <c r="M329" s="2"/>
    </row>
    <row r="330" spans="4:13" x14ac:dyDescent="0.25">
      <c r="E330" s="2"/>
      <c r="G330" s="2"/>
      <c r="H330" s="2"/>
      <c r="K330" s="2"/>
      <c r="M330" s="2"/>
    </row>
    <row r="331" spans="4:13" x14ac:dyDescent="0.25">
      <c r="E331" s="2"/>
      <c r="G331" s="2"/>
      <c r="H331" s="2"/>
      <c r="K331" s="2"/>
      <c r="M331" s="2"/>
    </row>
    <row r="332" spans="4:13" x14ac:dyDescent="0.25">
      <c r="E332" s="2"/>
      <c r="G332" s="2"/>
      <c r="H332" s="2"/>
      <c r="K332" s="2"/>
      <c r="M332" s="2"/>
    </row>
    <row r="333" spans="4:13" x14ac:dyDescent="0.25">
      <c r="E333" s="2"/>
      <c r="G333" s="2"/>
      <c r="H333" s="2"/>
      <c r="K333" s="2"/>
      <c r="M333" s="2"/>
    </row>
    <row r="334" spans="4:13" x14ac:dyDescent="0.25">
      <c r="E334" s="2"/>
      <c r="G334" s="2"/>
      <c r="H334" s="2"/>
      <c r="K334" s="2"/>
      <c r="M334" s="2"/>
    </row>
    <row r="335" spans="4:13" x14ac:dyDescent="0.25">
      <c r="D335" t="s">
        <v>45</v>
      </c>
      <c r="E335" s="2">
        <v>48</v>
      </c>
      <c r="F335" t="str">
        <f>SUBSTITUTE(D335, "          (big city)", "")</f>
        <v>Amsterdam to Cadiz: 13</v>
      </c>
      <c r="G335" s="2">
        <f>FIND(" to ", F335)</f>
        <v>10</v>
      </c>
      <c r="H335" s="2">
        <f>FIND(":", F335)</f>
        <v>19</v>
      </c>
      <c r="I335" t="str">
        <f>LEFT(F335, G335-1)</f>
        <v>Amsterdam</v>
      </c>
      <c r="J335" t="str">
        <f>MID(F335, G335+4, 9999)</f>
        <v>Cadiz: 13</v>
      </c>
      <c r="K335" s="2">
        <f>FIND(":", J335)</f>
        <v>6</v>
      </c>
      <c r="L335" t="str">
        <f>LEFT(J335, K335-1)</f>
        <v>Cadiz</v>
      </c>
      <c r="M335" s="2" t="str">
        <f>RIGHT(F335, LEN(F335)-H335)</f>
        <v xml:space="preserve"> 13</v>
      </c>
    </row>
    <row r="336" spans="4:13" x14ac:dyDescent="0.25">
      <c r="E336" s="2"/>
      <c r="G336" s="2"/>
      <c r="H336" s="2"/>
      <c r="K336" s="2"/>
      <c r="M336" s="2"/>
    </row>
    <row r="337" spans="4:13" x14ac:dyDescent="0.25">
      <c r="E337" s="2"/>
      <c r="G337" s="2"/>
      <c r="H337" s="2"/>
      <c r="K337" s="2"/>
      <c r="M337" s="2"/>
    </row>
    <row r="338" spans="4:13" x14ac:dyDescent="0.25">
      <c r="E338" s="2"/>
      <c r="G338" s="2"/>
      <c r="H338" s="2"/>
      <c r="K338" s="2"/>
      <c r="M338" s="2"/>
    </row>
    <row r="339" spans="4:13" x14ac:dyDescent="0.25">
      <c r="E339" s="2"/>
      <c r="G339" s="2"/>
      <c r="H339" s="2"/>
      <c r="K339" s="2"/>
      <c r="M339" s="2"/>
    </row>
    <row r="340" spans="4:13" x14ac:dyDescent="0.25">
      <c r="E340" s="2"/>
      <c r="G340" s="2"/>
      <c r="H340" s="2"/>
      <c r="K340" s="2"/>
      <c r="M340" s="2"/>
    </row>
    <row r="341" spans="4:13" x14ac:dyDescent="0.25">
      <c r="E341" s="2"/>
      <c r="G341" s="2"/>
      <c r="H341" s="2"/>
      <c r="K341" s="2"/>
      <c r="M341" s="2"/>
    </row>
    <row r="342" spans="4:13" x14ac:dyDescent="0.25">
      <c r="D342" t="s">
        <v>46</v>
      </c>
      <c r="E342" s="2">
        <v>49</v>
      </c>
      <c r="F342" t="str">
        <f>SUBSTITUTE(D342, "          (big city)", "")</f>
        <v>Berlin to Madrid: 13</v>
      </c>
      <c r="G342" s="2">
        <f>FIND(" to ", F342)</f>
        <v>7</v>
      </c>
      <c r="H342" s="2">
        <f>FIND(":", F342)</f>
        <v>17</v>
      </c>
      <c r="I342" t="str">
        <f>LEFT(F342, G342-1)</f>
        <v>Berlin</v>
      </c>
      <c r="J342" t="str">
        <f>MID(F342, G342+4, 9999)</f>
        <v>Madrid: 13</v>
      </c>
      <c r="K342" s="2">
        <f>FIND(":", J342)</f>
        <v>7</v>
      </c>
      <c r="L342" t="str">
        <f>LEFT(J342, K342-1)</f>
        <v>Madrid</v>
      </c>
      <c r="M342" s="2" t="str">
        <f>RIGHT(F342, LEN(F342)-H342)</f>
        <v xml:space="preserve"> 13</v>
      </c>
    </row>
    <row r="343" spans="4:13" x14ac:dyDescent="0.25">
      <c r="E343" s="2"/>
      <c r="G343" s="2"/>
      <c r="H343" s="2"/>
      <c r="K343" s="2"/>
      <c r="M343" s="2"/>
    </row>
    <row r="344" spans="4:13" x14ac:dyDescent="0.25">
      <c r="E344" s="2"/>
      <c r="G344" s="2"/>
      <c r="H344" s="2"/>
      <c r="K344" s="2"/>
      <c r="M344" s="2"/>
    </row>
    <row r="345" spans="4:13" x14ac:dyDescent="0.25">
      <c r="E345" s="2"/>
      <c r="G345" s="2"/>
      <c r="H345" s="2"/>
      <c r="K345" s="2"/>
      <c r="M345" s="2"/>
    </row>
    <row r="346" spans="4:13" x14ac:dyDescent="0.25">
      <c r="E346" s="2"/>
      <c r="G346" s="2"/>
      <c r="H346" s="2"/>
      <c r="K346" s="2"/>
      <c r="M346" s="2"/>
    </row>
    <row r="347" spans="4:13" x14ac:dyDescent="0.25">
      <c r="E347" s="2"/>
      <c r="G347" s="2"/>
      <c r="H347" s="2"/>
      <c r="K347" s="2"/>
      <c r="M347" s="2"/>
    </row>
    <row r="348" spans="4:13" x14ac:dyDescent="0.25">
      <c r="E348" s="2"/>
      <c r="G348" s="2"/>
      <c r="H348" s="2"/>
      <c r="K348" s="2"/>
      <c r="M348" s="2"/>
    </row>
    <row r="349" spans="4:13" x14ac:dyDescent="0.25">
      <c r="D349" t="s">
        <v>47</v>
      </c>
      <c r="E349" s="2">
        <v>50</v>
      </c>
      <c r="F349" t="str">
        <f>SUBSTITUTE(D349, "          (big city)", "")</f>
        <v>Athina to Essen: 13</v>
      </c>
      <c r="G349" s="2">
        <f>FIND(" to ", F349)</f>
        <v>7</v>
      </c>
      <c r="H349" s="2">
        <f>FIND(":", F349)</f>
        <v>16</v>
      </c>
      <c r="I349" t="str">
        <f>LEFT(F349, G349-1)</f>
        <v>Athina</v>
      </c>
      <c r="J349" t="str">
        <f>MID(F349, G349+4, 9999)</f>
        <v>Essen: 13</v>
      </c>
      <c r="K349" s="2">
        <f>FIND(":", J349)</f>
        <v>6</v>
      </c>
      <c r="L349" t="str">
        <f>LEFT(J349, K349-1)</f>
        <v>Essen</v>
      </c>
      <c r="M349" s="2" t="str">
        <f>RIGHT(F349, LEN(F349)-H349)</f>
        <v xml:space="preserve"> 13</v>
      </c>
    </row>
    <row r="350" spans="4:13" x14ac:dyDescent="0.25">
      <c r="E350" s="2"/>
      <c r="G350" s="2"/>
      <c r="H350" s="2"/>
      <c r="K350" s="2"/>
      <c r="M350" s="2"/>
    </row>
    <row r="351" spans="4:13" x14ac:dyDescent="0.25">
      <c r="E351" s="2"/>
      <c r="G351" s="2"/>
      <c r="H351" s="2"/>
      <c r="K351" s="2"/>
      <c r="M351" s="2"/>
    </row>
    <row r="352" spans="4:13" x14ac:dyDescent="0.25">
      <c r="E352" s="2"/>
      <c r="G352" s="2"/>
      <c r="H352" s="2"/>
      <c r="K352" s="2"/>
      <c r="M352" s="2"/>
    </row>
    <row r="353" spans="4:13" x14ac:dyDescent="0.25">
      <c r="E353" s="2"/>
      <c r="G353" s="2"/>
      <c r="H353" s="2"/>
      <c r="K353" s="2"/>
      <c r="M353" s="2"/>
    </row>
    <row r="354" spans="4:13" x14ac:dyDescent="0.25">
      <c r="E354" s="2"/>
      <c r="G354" s="2"/>
      <c r="H354" s="2"/>
      <c r="K354" s="2"/>
      <c r="M354" s="2"/>
    </row>
    <row r="355" spans="4:13" x14ac:dyDescent="0.25">
      <c r="E355" s="2"/>
      <c r="G355" s="2"/>
      <c r="H355" s="2"/>
      <c r="K355" s="2"/>
      <c r="M355" s="2"/>
    </row>
    <row r="356" spans="4:13" x14ac:dyDescent="0.25">
      <c r="D356" t="s">
        <v>83</v>
      </c>
      <c r="E356" s="2">
        <v>51</v>
      </c>
      <c r="F356" t="str">
        <f>SUBSTITUTE(D356, "          (big city)", "")</f>
        <v>London to Paris: 3</v>
      </c>
      <c r="G356" s="2">
        <f>FIND(" to ", F356)</f>
        <v>7</v>
      </c>
      <c r="H356" s="2">
        <f>FIND(":", F356)</f>
        <v>16</v>
      </c>
      <c r="I356" t="str">
        <f>LEFT(F356, G356-1)</f>
        <v>London</v>
      </c>
      <c r="J356" t="str">
        <f>MID(F356, G356+4, 9999)</f>
        <v>Paris: 3</v>
      </c>
      <c r="K356" s="2">
        <f>FIND(":", J356)</f>
        <v>6</v>
      </c>
      <c r="L356" t="str">
        <f>LEFT(J356, K356-1)</f>
        <v>Paris</v>
      </c>
      <c r="M356" s="2" t="str">
        <f>RIGHT(F356, LEN(F356)-H356)</f>
        <v xml:space="preserve"> 3</v>
      </c>
    </row>
    <row r="357" spans="4:13" x14ac:dyDescent="0.25">
      <c r="E357" s="2"/>
      <c r="G357" s="2"/>
      <c r="H357" s="2"/>
      <c r="K357" s="2"/>
      <c r="M357" s="2"/>
    </row>
    <row r="358" spans="4:13" x14ac:dyDescent="0.25">
      <c r="E358" s="2"/>
      <c r="G358" s="2"/>
      <c r="H358" s="2"/>
      <c r="K358" s="2"/>
      <c r="M358" s="2"/>
    </row>
    <row r="359" spans="4:13" x14ac:dyDescent="0.25">
      <c r="E359" s="2"/>
      <c r="G359" s="2"/>
      <c r="H359" s="2"/>
      <c r="K359" s="2"/>
      <c r="M359" s="2"/>
    </row>
    <row r="360" spans="4:13" x14ac:dyDescent="0.25">
      <c r="E360" s="2"/>
      <c r="G360" s="2"/>
      <c r="H360" s="2"/>
      <c r="K360" s="2"/>
      <c r="M360" s="2"/>
    </row>
    <row r="361" spans="4:13" x14ac:dyDescent="0.25">
      <c r="E361" s="2"/>
      <c r="G361" s="2"/>
      <c r="H361" s="2"/>
      <c r="K361" s="2"/>
      <c r="M361" s="2"/>
    </row>
    <row r="362" spans="4:13" x14ac:dyDescent="0.25">
      <c r="E362" s="2"/>
      <c r="G362" s="2"/>
      <c r="H362" s="2"/>
      <c r="K362" s="2"/>
      <c r="M362" s="2"/>
    </row>
    <row r="363" spans="4:13" x14ac:dyDescent="0.25">
      <c r="D363" t="s">
        <v>48</v>
      </c>
      <c r="E363" s="2">
        <v>52</v>
      </c>
      <c r="F363" t="str">
        <f>SUBSTITUTE(D363, "          (big city)", "")</f>
        <v>Paris to Wilno: 13</v>
      </c>
      <c r="G363" s="2">
        <f>FIND(" to ", F363)</f>
        <v>6</v>
      </c>
      <c r="H363" s="2">
        <f>FIND(":", F363)</f>
        <v>15</v>
      </c>
      <c r="I363" t="str">
        <f>LEFT(F363, G363-1)</f>
        <v>Paris</v>
      </c>
      <c r="J363" t="str">
        <f>MID(F363, G363+4, 9999)</f>
        <v>Wilno: 13</v>
      </c>
      <c r="K363" s="2">
        <f>FIND(":", J363)</f>
        <v>6</v>
      </c>
      <c r="L363" t="str">
        <f>LEFT(J363, K363-1)</f>
        <v>Wilno</v>
      </c>
      <c r="M363" s="2" t="str">
        <f>RIGHT(F363, LEN(F363)-H363)</f>
        <v xml:space="preserve"> 13</v>
      </c>
    </row>
    <row r="364" spans="4:13" x14ac:dyDescent="0.25">
      <c r="E364" s="2"/>
      <c r="G364" s="2"/>
      <c r="H364" s="2"/>
      <c r="K364" s="2"/>
      <c r="M364" s="2"/>
    </row>
    <row r="365" spans="4:13" x14ac:dyDescent="0.25">
      <c r="E365" s="2"/>
      <c r="G365" s="2"/>
      <c r="H365" s="2"/>
      <c r="K365" s="2"/>
      <c r="M365" s="2"/>
    </row>
    <row r="366" spans="4:13" x14ac:dyDescent="0.25">
      <c r="E366" s="2"/>
      <c r="G366" s="2"/>
      <c r="H366" s="2"/>
      <c r="K366" s="2"/>
      <c r="M366" s="2"/>
    </row>
    <row r="367" spans="4:13" x14ac:dyDescent="0.25">
      <c r="E367" s="2"/>
      <c r="G367" s="2"/>
      <c r="H367" s="2"/>
      <c r="K367" s="2"/>
      <c r="M367" s="2"/>
    </row>
    <row r="368" spans="4:13" x14ac:dyDescent="0.25">
      <c r="E368" s="2"/>
      <c r="G368" s="2"/>
      <c r="H368" s="2"/>
      <c r="K368" s="2"/>
      <c r="M368" s="2"/>
    </row>
    <row r="369" spans="4:13" x14ac:dyDescent="0.25">
      <c r="E369" s="2"/>
      <c r="G369" s="2"/>
      <c r="H369" s="2"/>
      <c r="K369" s="2"/>
      <c r="M369" s="2"/>
    </row>
    <row r="370" spans="4:13" x14ac:dyDescent="0.25">
      <c r="D370" t="s">
        <v>49</v>
      </c>
      <c r="E370" s="2">
        <v>53</v>
      </c>
      <c r="F370" t="str">
        <f>SUBSTITUTE(D370, "          (big city)", "")</f>
        <v>Berlin to Angora: 13</v>
      </c>
      <c r="G370" s="2">
        <f>FIND(" to ", F370)</f>
        <v>7</v>
      </c>
      <c r="H370" s="2">
        <f>FIND(":", F370)</f>
        <v>17</v>
      </c>
      <c r="I370" t="str">
        <f>LEFT(F370, G370-1)</f>
        <v>Berlin</v>
      </c>
      <c r="J370" t="str">
        <f>MID(F370, G370+4, 9999)</f>
        <v>Angora: 13</v>
      </c>
      <c r="K370" s="2">
        <f>FIND(":", J370)</f>
        <v>7</v>
      </c>
      <c r="L370" t="str">
        <f>LEFT(J370, K370-1)</f>
        <v>Angora</v>
      </c>
      <c r="M370" s="2" t="str">
        <f>RIGHT(F370, LEN(F370)-H370)</f>
        <v xml:space="preserve"> 13</v>
      </c>
    </row>
    <row r="371" spans="4:13" x14ac:dyDescent="0.25">
      <c r="E371" s="2"/>
      <c r="G371" s="2"/>
      <c r="H371" s="2"/>
      <c r="K371" s="2"/>
      <c r="M371" s="2"/>
    </row>
    <row r="372" spans="4:13" x14ac:dyDescent="0.25">
      <c r="E372" s="2"/>
      <c r="G372" s="2"/>
      <c r="H372" s="2"/>
      <c r="K372" s="2"/>
      <c r="M372" s="2"/>
    </row>
    <row r="373" spans="4:13" x14ac:dyDescent="0.25">
      <c r="E373" s="2"/>
      <c r="G373" s="2"/>
      <c r="H373" s="2"/>
      <c r="K373" s="2"/>
      <c r="M373" s="2"/>
    </row>
    <row r="374" spans="4:13" x14ac:dyDescent="0.25">
      <c r="E374" s="2"/>
      <c r="G374" s="2"/>
      <c r="H374" s="2"/>
      <c r="K374" s="2"/>
      <c r="M374" s="2"/>
    </row>
    <row r="375" spans="4:13" x14ac:dyDescent="0.25">
      <c r="E375" s="2"/>
      <c r="G375" s="2"/>
      <c r="H375" s="2"/>
      <c r="K375" s="2"/>
      <c r="M375" s="2"/>
    </row>
    <row r="376" spans="4:13" x14ac:dyDescent="0.25">
      <c r="E376" s="2"/>
      <c r="G376" s="2"/>
      <c r="H376" s="2"/>
      <c r="K376" s="2"/>
      <c r="M376" s="2"/>
    </row>
    <row r="377" spans="4:13" x14ac:dyDescent="0.25">
      <c r="D377" t="s">
        <v>84</v>
      </c>
      <c r="E377" s="2">
        <v>54</v>
      </c>
      <c r="F377" t="str">
        <f>SUBSTITUTE(D377, "          (big city)", "")</f>
        <v>Wien to Athina: 8</v>
      </c>
      <c r="G377" s="2">
        <f>FIND(" to ", F377)</f>
        <v>5</v>
      </c>
      <c r="H377" s="2">
        <f>FIND(":", F377)</f>
        <v>15</v>
      </c>
      <c r="I377" t="str">
        <f>LEFT(F377, G377-1)</f>
        <v>Wien</v>
      </c>
      <c r="J377" t="str">
        <f>MID(F377, G377+4, 9999)</f>
        <v>Athina: 8</v>
      </c>
      <c r="K377" s="2">
        <f>FIND(":", J377)</f>
        <v>7</v>
      </c>
      <c r="L377" t="str">
        <f>LEFT(J377, K377-1)</f>
        <v>Athina</v>
      </c>
      <c r="M377" s="2" t="str">
        <f>RIGHT(F377, LEN(F377)-H377)</f>
        <v xml:space="preserve"> 8</v>
      </c>
    </row>
    <row r="378" spans="4:13" x14ac:dyDescent="0.25">
      <c r="E378" s="2"/>
      <c r="G378" s="2"/>
      <c r="H378" s="2"/>
      <c r="K378" s="2"/>
      <c r="M378" s="2"/>
    </row>
    <row r="379" spans="4:13" x14ac:dyDescent="0.25">
      <c r="E379" s="2"/>
      <c r="G379" s="2"/>
      <c r="H379" s="2"/>
      <c r="K379" s="2"/>
      <c r="M379" s="2"/>
    </row>
    <row r="380" spans="4:13" x14ac:dyDescent="0.25">
      <c r="E380" s="2"/>
      <c r="G380" s="2"/>
      <c r="H380" s="2"/>
      <c r="K380" s="2"/>
      <c r="M380" s="2"/>
    </row>
    <row r="381" spans="4:13" x14ac:dyDescent="0.25">
      <c r="E381" s="2"/>
      <c r="G381" s="2"/>
      <c r="H381" s="2"/>
      <c r="K381" s="2"/>
      <c r="M381" s="2"/>
    </row>
    <row r="382" spans="4:13" x14ac:dyDescent="0.25">
      <c r="E382" s="2"/>
      <c r="G382" s="2"/>
      <c r="H382" s="2"/>
      <c r="K382" s="2"/>
      <c r="M382" s="2"/>
    </row>
    <row r="383" spans="4:13" x14ac:dyDescent="0.25">
      <c r="E383" s="2"/>
      <c r="G383" s="2"/>
      <c r="H383" s="2"/>
      <c r="K383" s="2"/>
      <c r="M383" s="2"/>
    </row>
    <row r="384" spans="4:13" x14ac:dyDescent="0.25">
      <c r="D384" t="s">
        <v>85</v>
      </c>
      <c r="E384" s="2">
        <v>55</v>
      </c>
      <c r="F384" t="str">
        <f>SUBSTITUTE(D384, "          (big city)", "")</f>
        <v>Madrid to Venezia: 10</v>
      </c>
      <c r="G384" s="2">
        <f>FIND(" to ", F384)</f>
        <v>7</v>
      </c>
      <c r="H384" s="2">
        <f>FIND(":", F384)</f>
        <v>18</v>
      </c>
      <c r="I384" t="str">
        <f>LEFT(F384, G384-1)</f>
        <v>Madrid</v>
      </c>
      <c r="J384" t="str">
        <f>MID(F384, G384+4, 9999)</f>
        <v>Venezia: 10</v>
      </c>
      <c r="K384" s="2">
        <f>FIND(":", J384)</f>
        <v>8</v>
      </c>
      <c r="L384" t="str">
        <f>LEFT(J384, K384-1)</f>
        <v>Venezia</v>
      </c>
      <c r="M384" s="2" t="str">
        <f>RIGHT(F384, LEN(F384)-H384)</f>
        <v xml:space="preserve"> 10</v>
      </c>
    </row>
    <row r="385" spans="4:13" x14ac:dyDescent="0.25">
      <c r="E385" s="2"/>
      <c r="G385" s="2"/>
      <c r="H385" s="2"/>
      <c r="K385" s="2"/>
      <c r="M385" s="2"/>
    </row>
    <row r="386" spans="4:13" x14ac:dyDescent="0.25">
      <c r="E386" s="2"/>
      <c r="G386" s="2"/>
      <c r="H386" s="2"/>
      <c r="K386" s="2"/>
      <c r="M386" s="2"/>
    </row>
    <row r="387" spans="4:13" x14ac:dyDescent="0.25">
      <c r="E387" s="2"/>
      <c r="G387" s="2"/>
      <c r="H387" s="2"/>
      <c r="K387" s="2"/>
      <c r="M387" s="2"/>
    </row>
    <row r="388" spans="4:13" x14ac:dyDescent="0.25">
      <c r="E388" s="2"/>
      <c r="G388" s="2"/>
      <c r="H388" s="2"/>
      <c r="K388" s="2"/>
      <c r="M388" s="2"/>
    </row>
    <row r="389" spans="4:13" x14ac:dyDescent="0.25">
      <c r="E389" s="2"/>
      <c r="G389" s="2"/>
      <c r="H389" s="2"/>
      <c r="K389" s="2"/>
      <c r="M389" s="2"/>
    </row>
    <row r="390" spans="4:13" x14ac:dyDescent="0.25">
      <c r="E390" s="2"/>
      <c r="G390" s="2"/>
      <c r="H390" s="2"/>
      <c r="K390" s="2"/>
      <c r="M390" s="2"/>
    </row>
    <row r="391" spans="4:13" x14ac:dyDescent="0.25">
      <c r="D391" t="s">
        <v>86</v>
      </c>
      <c r="E391" s="2">
        <v>56</v>
      </c>
      <c r="F391" t="str">
        <f>SUBSTITUTE(D391, "          (big city)", "")</f>
        <v>Smolensk to Rostov: 8</v>
      </c>
      <c r="G391" s="2">
        <f>FIND(" to ", F391)</f>
        <v>9</v>
      </c>
      <c r="H391" s="2">
        <f>FIND(":", F391)</f>
        <v>19</v>
      </c>
      <c r="I391" t="str">
        <f>LEFT(F391, G391-1)</f>
        <v>Smolensk</v>
      </c>
      <c r="J391" t="str">
        <f>MID(F391, G391+4, 9999)</f>
        <v>Rostov: 8</v>
      </c>
      <c r="K391" s="2">
        <f>FIND(":", J391)</f>
        <v>7</v>
      </c>
      <c r="L391" t="str">
        <f>LEFT(J391, K391-1)</f>
        <v>Rostov</v>
      </c>
      <c r="M391" s="2" t="str">
        <f>RIGHT(F391, LEN(F391)-H391)</f>
        <v xml:space="preserve"> 8</v>
      </c>
    </row>
    <row r="392" spans="4:13" x14ac:dyDescent="0.25">
      <c r="E392" s="2"/>
      <c r="G392" s="2"/>
      <c r="H392" s="2"/>
      <c r="K392" s="2"/>
      <c r="M392" s="2"/>
    </row>
    <row r="393" spans="4:13" x14ac:dyDescent="0.25">
      <c r="E393" s="2"/>
      <c r="G393" s="2"/>
      <c r="H393" s="2"/>
      <c r="K393" s="2"/>
      <c r="M393" s="2"/>
    </row>
    <row r="394" spans="4:13" x14ac:dyDescent="0.25">
      <c r="E394" s="2"/>
      <c r="G394" s="2"/>
      <c r="H394" s="2"/>
      <c r="K394" s="2"/>
      <c r="M394" s="2"/>
    </row>
    <row r="395" spans="4:13" x14ac:dyDescent="0.25">
      <c r="E395" s="2"/>
      <c r="G395" s="2"/>
      <c r="H395" s="2"/>
      <c r="K395" s="2"/>
      <c r="M395" s="2"/>
    </row>
    <row r="396" spans="4:13" x14ac:dyDescent="0.25">
      <c r="E396" s="2"/>
      <c r="G396" s="2"/>
      <c r="H396" s="2"/>
      <c r="K396" s="2"/>
      <c r="M396" s="2"/>
    </row>
    <row r="397" spans="4:13" x14ac:dyDescent="0.25">
      <c r="E397" s="2"/>
      <c r="G397" s="2"/>
      <c r="H397" s="2"/>
      <c r="K397" s="2"/>
      <c r="M397" s="2"/>
    </row>
    <row r="398" spans="4:13" x14ac:dyDescent="0.25">
      <c r="D398" t="s">
        <v>50</v>
      </c>
      <c r="E398" s="2">
        <v>57</v>
      </c>
      <c r="F398" t="str">
        <f>SUBSTITUTE(D398, "          (big city)", "")</f>
        <v>Berlin to Rostov: 14</v>
      </c>
      <c r="G398" s="2">
        <f>FIND(" to ", F398)</f>
        <v>7</v>
      </c>
      <c r="H398" s="2">
        <f>FIND(":", F398)</f>
        <v>17</v>
      </c>
      <c r="I398" t="str">
        <f>LEFT(F398, G398-1)</f>
        <v>Berlin</v>
      </c>
      <c r="J398" t="str">
        <f>MID(F398, G398+4, 9999)</f>
        <v>Rostov: 14</v>
      </c>
      <c r="K398" s="2">
        <f>FIND(":", J398)</f>
        <v>7</v>
      </c>
      <c r="L398" t="str">
        <f>LEFT(J398, K398-1)</f>
        <v>Rostov</v>
      </c>
      <c r="M398" s="2" t="str">
        <f>RIGHT(F398, LEN(F398)-H398)</f>
        <v xml:space="preserve"> 14</v>
      </c>
    </row>
    <row r="399" spans="4:13" x14ac:dyDescent="0.25">
      <c r="E399" s="2"/>
      <c r="G399" s="2"/>
      <c r="H399" s="2"/>
      <c r="K399" s="2"/>
      <c r="M399" s="2"/>
    </row>
    <row r="400" spans="4:13" x14ac:dyDescent="0.25">
      <c r="E400" s="2"/>
      <c r="G400" s="2"/>
      <c r="H400" s="2"/>
      <c r="K400" s="2"/>
      <c r="M400" s="2"/>
    </row>
    <row r="401" spans="4:13" x14ac:dyDescent="0.25">
      <c r="E401" s="2"/>
      <c r="G401" s="2"/>
      <c r="H401" s="2"/>
      <c r="K401" s="2"/>
      <c r="M401" s="2"/>
    </row>
    <row r="402" spans="4:13" x14ac:dyDescent="0.25">
      <c r="E402" s="2"/>
      <c r="G402" s="2"/>
      <c r="H402" s="2"/>
      <c r="K402" s="2"/>
      <c r="M402" s="2"/>
    </row>
    <row r="403" spans="4:13" x14ac:dyDescent="0.25">
      <c r="E403" s="2"/>
      <c r="G403" s="2"/>
      <c r="H403" s="2"/>
      <c r="K403" s="2"/>
      <c r="M403" s="2"/>
    </row>
    <row r="404" spans="4:13" x14ac:dyDescent="0.25">
      <c r="E404" s="2"/>
      <c r="G404" s="2"/>
      <c r="H404" s="2"/>
      <c r="K404" s="2"/>
      <c r="M404" s="2"/>
    </row>
    <row r="405" spans="4:13" x14ac:dyDescent="0.25">
      <c r="D405" t="s">
        <v>51</v>
      </c>
      <c r="E405" s="2">
        <v>58</v>
      </c>
      <c r="F405" t="str">
        <f>SUBSTITUTE(D405, "          (big city)", "")</f>
        <v>Moskva to Athina: 14</v>
      </c>
      <c r="G405" s="2">
        <f>FIND(" to ", F405)</f>
        <v>7</v>
      </c>
      <c r="H405" s="2">
        <f>FIND(":", F405)</f>
        <v>17</v>
      </c>
      <c r="I405" t="str">
        <f>LEFT(F405, G405-1)</f>
        <v>Moskva</v>
      </c>
      <c r="J405" t="str">
        <f>MID(F405, G405+4, 9999)</f>
        <v>Athina: 14</v>
      </c>
      <c r="K405" s="2">
        <f>FIND(":", J405)</f>
        <v>7</v>
      </c>
      <c r="L405" t="str">
        <f>LEFT(J405, K405-1)</f>
        <v>Athina</v>
      </c>
      <c r="M405" s="2" t="str">
        <f>RIGHT(F405, LEN(F405)-H405)</f>
        <v xml:space="preserve"> 14</v>
      </c>
    </row>
    <row r="406" spans="4:13" x14ac:dyDescent="0.25">
      <c r="E406" s="2"/>
      <c r="G406" s="2"/>
      <c r="H406" s="2"/>
      <c r="K406" s="2"/>
      <c r="M406" s="2"/>
    </row>
    <row r="407" spans="4:13" x14ac:dyDescent="0.25">
      <c r="E407" s="2"/>
      <c r="G407" s="2"/>
      <c r="H407" s="2"/>
      <c r="K407" s="2"/>
      <c r="M407" s="2"/>
    </row>
    <row r="408" spans="4:13" x14ac:dyDescent="0.25">
      <c r="E408" s="2"/>
      <c r="G408" s="2"/>
      <c r="H408" s="2"/>
      <c r="K408" s="2"/>
      <c r="M408" s="2"/>
    </row>
    <row r="409" spans="4:13" x14ac:dyDescent="0.25">
      <c r="E409" s="2"/>
      <c r="G409" s="2"/>
      <c r="H409" s="2"/>
      <c r="K409" s="2"/>
      <c r="M409" s="2"/>
    </row>
    <row r="410" spans="4:13" x14ac:dyDescent="0.25">
      <c r="E410" s="2"/>
      <c r="G410" s="2"/>
      <c r="H410" s="2"/>
      <c r="K410" s="2"/>
      <c r="M410" s="2"/>
    </row>
    <row r="411" spans="4:13" x14ac:dyDescent="0.25">
      <c r="E411" s="2"/>
      <c r="G411" s="2"/>
      <c r="H411" s="2"/>
      <c r="K411" s="2"/>
      <c r="M411" s="2"/>
    </row>
    <row r="412" spans="4:13" x14ac:dyDescent="0.25">
      <c r="D412" t="s">
        <v>87</v>
      </c>
      <c r="E412" s="2">
        <v>59</v>
      </c>
      <c r="F412" t="str">
        <f>SUBSTITUTE(D412, "          (big city)", "")</f>
        <v>Brest to Frankfurt: 6</v>
      </c>
      <c r="G412" s="2">
        <f>FIND(" to ", F412)</f>
        <v>6</v>
      </c>
      <c r="H412" s="2">
        <f>FIND(":", F412)</f>
        <v>19</v>
      </c>
      <c r="I412" t="str">
        <f>LEFT(F412, G412-1)</f>
        <v>Brest</v>
      </c>
      <c r="J412" t="str">
        <f>MID(F412, G412+4, 9999)</f>
        <v>Frankfurt: 6</v>
      </c>
      <c r="K412" s="2">
        <f>FIND(":", J412)</f>
        <v>10</v>
      </c>
      <c r="L412" t="str">
        <f>LEFT(J412, K412-1)</f>
        <v>Frankfurt</v>
      </c>
      <c r="M412" s="2" t="str">
        <f>RIGHT(F412, LEN(F412)-H412)</f>
        <v xml:space="preserve"> 6</v>
      </c>
    </row>
    <row r="413" spans="4:13" x14ac:dyDescent="0.25">
      <c r="E413" s="2"/>
      <c r="G413" s="2"/>
      <c r="H413" s="2"/>
      <c r="K413" s="2"/>
      <c r="M413" s="2"/>
    </row>
    <row r="414" spans="4:13" x14ac:dyDescent="0.25">
      <c r="E414" s="2"/>
      <c r="G414" s="2"/>
      <c r="H414" s="2"/>
      <c r="K414" s="2"/>
      <c r="M414" s="2"/>
    </row>
    <row r="415" spans="4:13" x14ac:dyDescent="0.25">
      <c r="E415" s="2"/>
      <c r="G415" s="2"/>
      <c r="H415" s="2"/>
      <c r="K415" s="2"/>
      <c r="M415" s="2"/>
    </row>
    <row r="416" spans="4:13" x14ac:dyDescent="0.25">
      <c r="E416" s="2"/>
      <c r="G416" s="2"/>
      <c r="H416" s="2"/>
      <c r="K416" s="2"/>
      <c r="M416" s="2"/>
    </row>
    <row r="417" spans="4:13" x14ac:dyDescent="0.25">
      <c r="E417" s="2"/>
      <c r="G417" s="2"/>
      <c r="H417" s="2"/>
      <c r="K417" s="2"/>
      <c r="M417" s="2"/>
    </row>
    <row r="418" spans="4:13" x14ac:dyDescent="0.25">
      <c r="E418" s="2"/>
      <c r="G418" s="2"/>
      <c r="H418" s="2"/>
      <c r="K418" s="2"/>
      <c r="M418" s="2"/>
    </row>
    <row r="419" spans="4:13" x14ac:dyDescent="0.25">
      <c r="D419" t="s">
        <v>52</v>
      </c>
      <c r="E419" s="2">
        <v>60</v>
      </c>
      <c r="F419" t="str">
        <f>SUBSTITUTE(D419, "          (big city)", "")</f>
        <v>Pamplona to Stockholm: 15</v>
      </c>
      <c r="G419" s="2">
        <f>FIND(" to ", F419)</f>
        <v>9</v>
      </c>
      <c r="H419" s="2">
        <f>FIND(":", F419)</f>
        <v>22</v>
      </c>
      <c r="I419" t="str">
        <f>LEFT(F419, G419-1)</f>
        <v>Pamplona</v>
      </c>
      <c r="J419" t="str">
        <f>MID(F419, G419+4, 9999)</f>
        <v>Stockholm: 15</v>
      </c>
      <c r="K419" s="2">
        <f>FIND(":", J419)</f>
        <v>10</v>
      </c>
      <c r="L419" t="str">
        <f>LEFT(J419, K419-1)</f>
        <v>Stockholm</v>
      </c>
      <c r="M419" s="2" t="str">
        <f>RIGHT(F419, LEN(F419)-H419)</f>
        <v xml:space="preserve"> 15</v>
      </c>
    </row>
    <row r="420" spans="4:13" x14ac:dyDescent="0.25">
      <c r="E420" s="2"/>
      <c r="G420" s="2"/>
      <c r="H420" s="2"/>
      <c r="K420" s="2"/>
      <c r="M420" s="2"/>
    </row>
    <row r="421" spans="4:13" x14ac:dyDescent="0.25">
      <c r="E421" s="2"/>
      <c r="G421" s="2"/>
      <c r="H421" s="2"/>
      <c r="K421" s="2"/>
      <c r="M421" s="2"/>
    </row>
    <row r="422" spans="4:13" x14ac:dyDescent="0.25">
      <c r="E422" s="2"/>
      <c r="G422" s="2"/>
      <c r="H422" s="2"/>
      <c r="K422" s="2"/>
      <c r="M422" s="2"/>
    </row>
    <row r="423" spans="4:13" x14ac:dyDescent="0.25">
      <c r="E423" s="2"/>
      <c r="G423" s="2"/>
      <c r="H423" s="2"/>
      <c r="K423" s="2"/>
      <c r="M423" s="2"/>
    </row>
    <row r="424" spans="4:13" x14ac:dyDescent="0.25">
      <c r="E424" s="2"/>
      <c r="G424" s="2"/>
      <c r="H424" s="2"/>
      <c r="K424" s="2"/>
      <c r="M424" s="2"/>
    </row>
    <row r="425" spans="4:13" x14ac:dyDescent="0.25">
      <c r="E425" s="2"/>
      <c r="G425" s="2"/>
      <c r="H425" s="2"/>
      <c r="K425" s="2"/>
      <c r="M425" s="2"/>
    </row>
    <row r="426" spans="4:13" x14ac:dyDescent="0.25">
      <c r="D426" t="s">
        <v>88</v>
      </c>
      <c r="E426" s="2">
        <v>61</v>
      </c>
      <c r="F426" t="str">
        <f>SUBSTITUTE(D426, "          (big city)", "")</f>
        <v>Brest to Marseille: 7</v>
      </c>
      <c r="G426" s="2">
        <f>FIND(" to ", F426)</f>
        <v>6</v>
      </c>
      <c r="H426" s="2">
        <f>FIND(":", F426)</f>
        <v>19</v>
      </c>
      <c r="I426" t="str">
        <f>LEFT(F426, G426-1)</f>
        <v>Brest</v>
      </c>
      <c r="J426" t="str">
        <f>MID(F426, G426+4, 9999)</f>
        <v>Marseille: 7</v>
      </c>
      <c r="K426" s="2">
        <f>FIND(":", J426)</f>
        <v>10</v>
      </c>
      <c r="L426" t="str">
        <f>LEFT(J426, K426-1)</f>
        <v>Marseille</v>
      </c>
      <c r="M426" s="2" t="str">
        <f>RIGHT(F426, LEN(F426)-H426)</f>
        <v xml:space="preserve"> 7</v>
      </c>
    </row>
    <row r="427" spans="4:13" x14ac:dyDescent="0.25">
      <c r="E427" s="2"/>
      <c r="G427" s="2"/>
      <c r="H427" s="2"/>
      <c r="K427" s="2"/>
      <c r="M427" s="2"/>
    </row>
    <row r="428" spans="4:13" x14ac:dyDescent="0.25">
      <c r="E428" s="2"/>
      <c r="G428" s="2"/>
      <c r="H428" s="2"/>
      <c r="K428" s="2"/>
      <c r="M428" s="2"/>
    </row>
    <row r="429" spans="4:13" x14ac:dyDescent="0.25">
      <c r="E429" s="2"/>
      <c r="G429" s="2"/>
      <c r="H429" s="2"/>
      <c r="K429" s="2"/>
      <c r="M429" s="2"/>
    </row>
    <row r="430" spans="4:13" x14ac:dyDescent="0.25">
      <c r="E430" s="2"/>
      <c r="G430" s="2"/>
      <c r="H430" s="2"/>
      <c r="K430" s="2"/>
      <c r="M430" s="2"/>
    </row>
    <row r="431" spans="4:13" x14ac:dyDescent="0.25">
      <c r="E431" s="2"/>
      <c r="G431" s="2"/>
      <c r="H431" s="2"/>
      <c r="K431" s="2"/>
      <c r="M431" s="2"/>
    </row>
    <row r="432" spans="4:13" x14ac:dyDescent="0.25">
      <c r="E432" s="2"/>
      <c r="G432" s="2"/>
      <c r="H432" s="2"/>
      <c r="K432" s="2"/>
      <c r="M432" s="2"/>
    </row>
    <row r="433" spans="4:13" x14ac:dyDescent="0.25">
      <c r="D433" t="s">
        <v>53</v>
      </c>
      <c r="E433" s="2">
        <v>62</v>
      </c>
      <c r="F433" t="str">
        <f>SUBSTITUTE(D433, "          (big city)", "")</f>
        <v>Moskva to Kobenhavn: 15</v>
      </c>
      <c r="G433" s="2">
        <f>FIND(" to ", F433)</f>
        <v>7</v>
      </c>
      <c r="H433" s="2">
        <f>FIND(":", F433)</f>
        <v>20</v>
      </c>
      <c r="I433" t="str">
        <f>LEFT(F433, G433-1)</f>
        <v>Moskva</v>
      </c>
      <c r="J433" t="str">
        <f>MID(F433, G433+4, 9999)</f>
        <v>Kobenhavn: 15</v>
      </c>
      <c r="K433" s="2">
        <f>FIND(":", J433)</f>
        <v>10</v>
      </c>
      <c r="L433" t="str">
        <f>LEFT(J433, K433-1)</f>
        <v>Kobenhavn</v>
      </c>
      <c r="M433" s="2" t="str">
        <f>RIGHT(F433, LEN(F433)-H433)</f>
        <v xml:space="preserve"> 15</v>
      </c>
    </row>
    <row r="434" spans="4:13" x14ac:dyDescent="0.25">
      <c r="E434" s="2"/>
      <c r="G434" s="2"/>
      <c r="H434" s="2"/>
      <c r="K434" s="2"/>
      <c r="M434" s="2"/>
    </row>
    <row r="435" spans="4:13" x14ac:dyDescent="0.25">
      <c r="E435" s="2"/>
      <c r="G435" s="2"/>
      <c r="H435" s="2"/>
      <c r="K435" s="2"/>
      <c r="M435" s="2"/>
    </row>
    <row r="436" spans="4:13" x14ac:dyDescent="0.25">
      <c r="E436" s="2"/>
      <c r="G436" s="2"/>
      <c r="H436" s="2"/>
      <c r="K436" s="2"/>
      <c r="M436" s="2"/>
    </row>
    <row r="437" spans="4:13" x14ac:dyDescent="0.25">
      <c r="E437" s="2"/>
      <c r="G437" s="2"/>
      <c r="H437" s="2"/>
      <c r="K437" s="2"/>
      <c r="M437" s="2"/>
    </row>
    <row r="438" spans="4:13" x14ac:dyDescent="0.25">
      <c r="E438" s="2"/>
      <c r="G438" s="2"/>
      <c r="H438" s="2"/>
      <c r="K438" s="2"/>
      <c r="M438" s="2"/>
    </row>
    <row r="439" spans="4:13" x14ac:dyDescent="0.25">
      <c r="E439" s="2"/>
      <c r="G439" s="2"/>
      <c r="H439" s="2"/>
      <c r="K439" s="2"/>
      <c r="M439" s="2"/>
    </row>
    <row r="440" spans="4:13" x14ac:dyDescent="0.25">
      <c r="D440" t="s">
        <v>89</v>
      </c>
      <c r="E440" s="2">
        <v>63</v>
      </c>
      <c r="F440" t="str">
        <f>SUBSTITUTE(D440, "          (big city)", "")</f>
        <v>Edinburgh to Sarajevo: 17</v>
      </c>
      <c r="G440" s="2">
        <f>FIND(" to ", F440)</f>
        <v>10</v>
      </c>
      <c r="H440" s="2">
        <f>FIND(":", F440)</f>
        <v>22</v>
      </c>
      <c r="I440" t="str">
        <f>LEFT(F440, G440-1)</f>
        <v>Edinburgh</v>
      </c>
      <c r="J440" t="str">
        <f>MID(F440, G440+4, 9999)</f>
        <v>Sarajevo: 17</v>
      </c>
      <c r="K440" s="2">
        <f>FIND(":", J440)</f>
        <v>9</v>
      </c>
      <c r="L440" t="str">
        <f>LEFT(J440, K440-1)</f>
        <v>Sarajevo</v>
      </c>
      <c r="M440" s="2" t="str">
        <f>RIGHT(F440, LEN(F440)-H440)</f>
        <v xml:space="preserve"> 17</v>
      </c>
    </row>
    <row r="441" spans="4:13" x14ac:dyDescent="0.25">
      <c r="E441" s="2"/>
      <c r="G441" s="2"/>
      <c r="H441" s="2"/>
      <c r="K441" s="2"/>
      <c r="M441" s="2"/>
    </row>
    <row r="442" spans="4:13" x14ac:dyDescent="0.25">
      <c r="E442" s="2"/>
      <c r="G442" s="2"/>
      <c r="H442" s="2"/>
      <c r="K442" s="2"/>
      <c r="M442" s="2"/>
    </row>
    <row r="443" spans="4:13" x14ac:dyDescent="0.25">
      <c r="E443" s="2"/>
      <c r="G443" s="2"/>
      <c r="H443" s="2"/>
      <c r="K443" s="2"/>
      <c r="M443" s="2"/>
    </row>
    <row r="444" spans="4:13" x14ac:dyDescent="0.25">
      <c r="E444" s="2"/>
      <c r="G444" s="2"/>
      <c r="H444" s="2"/>
      <c r="K444" s="2"/>
      <c r="M444" s="2"/>
    </row>
    <row r="445" spans="4:13" x14ac:dyDescent="0.25">
      <c r="E445" s="2"/>
      <c r="G445" s="2"/>
      <c r="H445" s="2"/>
      <c r="K445" s="2"/>
      <c r="M445" s="2"/>
    </row>
    <row r="446" spans="4:13" x14ac:dyDescent="0.25">
      <c r="E446" s="2"/>
      <c r="G446" s="2"/>
      <c r="H446" s="2"/>
      <c r="K446" s="2"/>
      <c r="M446" s="2"/>
    </row>
    <row r="447" spans="4:13" x14ac:dyDescent="0.25">
      <c r="D447" t="s">
        <v>54</v>
      </c>
      <c r="E447" s="2">
        <v>64</v>
      </c>
      <c r="F447" t="str">
        <f>SUBSTITUTE(D447, "          (big city)", "")</f>
        <v>Essen to Lisboa: 15</v>
      </c>
      <c r="G447" s="2">
        <f>FIND(" to ", F447)</f>
        <v>6</v>
      </c>
      <c r="H447" s="2">
        <f>FIND(":", F447)</f>
        <v>16</v>
      </c>
      <c r="I447" t="str">
        <f>LEFT(F447, G447-1)</f>
        <v>Essen</v>
      </c>
      <c r="J447" t="str">
        <f>MID(F447, G447+4, 9999)</f>
        <v>Lisboa: 15</v>
      </c>
      <c r="K447" s="2">
        <f>FIND(":", J447)</f>
        <v>7</v>
      </c>
      <c r="L447" t="str">
        <f>LEFT(J447, K447-1)</f>
        <v>Lisboa</v>
      </c>
      <c r="M447" s="2" t="str">
        <f>RIGHT(F447, LEN(F447)-H447)</f>
        <v xml:space="preserve"> 15</v>
      </c>
    </row>
    <row r="448" spans="4:13" x14ac:dyDescent="0.25">
      <c r="E448" s="2"/>
      <c r="G448" s="2"/>
      <c r="H448" s="2"/>
      <c r="K448" s="2"/>
      <c r="M448" s="2"/>
    </row>
    <row r="449" spans="4:13" x14ac:dyDescent="0.25">
      <c r="E449" s="2"/>
      <c r="G449" s="2"/>
      <c r="H449" s="2"/>
      <c r="K449" s="2"/>
      <c r="M449" s="2"/>
    </row>
    <row r="450" spans="4:13" x14ac:dyDescent="0.25">
      <c r="E450" s="2"/>
      <c r="G450" s="2"/>
      <c r="H450" s="2"/>
      <c r="K450" s="2"/>
      <c r="M450" s="2"/>
    </row>
    <row r="451" spans="4:13" x14ac:dyDescent="0.25">
      <c r="E451" s="2"/>
      <c r="G451" s="2"/>
      <c r="H451" s="2"/>
      <c r="K451" s="2"/>
      <c r="M451" s="2"/>
    </row>
    <row r="452" spans="4:13" x14ac:dyDescent="0.25">
      <c r="E452" s="2"/>
      <c r="G452" s="2"/>
      <c r="H452" s="2"/>
      <c r="K452" s="2"/>
      <c r="M452" s="2"/>
    </row>
    <row r="453" spans="4:13" x14ac:dyDescent="0.25">
      <c r="E453" s="2"/>
      <c r="G453" s="2"/>
      <c r="H453" s="2"/>
      <c r="K453" s="2"/>
      <c r="M453" s="2"/>
    </row>
    <row r="454" spans="4:13" x14ac:dyDescent="0.25">
      <c r="D454" t="s">
        <v>55</v>
      </c>
      <c r="E454" s="2">
        <v>65</v>
      </c>
      <c r="F454" t="str">
        <f>SUBSTITUTE(D454, "          (big city)", "")</f>
        <v>Zurich to Petrograd: 16</v>
      </c>
      <c r="G454" s="2">
        <f>FIND(" to ", F454)</f>
        <v>7</v>
      </c>
      <c r="H454" s="2">
        <f>FIND(":", F454)</f>
        <v>20</v>
      </c>
      <c r="I454" t="str">
        <f>LEFT(F454, G454-1)</f>
        <v>Zurich</v>
      </c>
      <c r="J454" t="str">
        <f>MID(F454, G454+4, 9999)</f>
        <v>Petrograd: 16</v>
      </c>
      <c r="K454" s="2">
        <f>FIND(":", J454)</f>
        <v>10</v>
      </c>
      <c r="L454" t="str">
        <f>LEFT(J454, K454-1)</f>
        <v>Petrograd</v>
      </c>
      <c r="M454" s="2" t="str">
        <f>RIGHT(F454, LEN(F454)-H454)</f>
        <v xml:space="preserve"> 16</v>
      </c>
    </row>
    <row r="455" spans="4:13" x14ac:dyDescent="0.25">
      <c r="E455" s="2"/>
      <c r="G455" s="2"/>
      <c r="H455" s="2"/>
      <c r="K455" s="2"/>
      <c r="M455" s="2"/>
    </row>
    <row r="456" spans="4:13" x14ac:dyDescent="0.25">
      <c r="E456" s="2"/>
      <c r="G456" s="2"/>
      <c r="H456" s="2"/>
      <c r="K456" s="2"/>
      <c r="M456" s="2"/>
    </row>
    <row r="457" spans="4:13" x14ac:dyDescent="0.25">
      <c r="E457" s="2"/>
      <c r="G457" s="2"/>
      <c r="H457" s="2"/>
      <c r="K457" s="2"/>
      <c r="M457" s="2"/>
    </row>
    <row r="458" spans="4:13" x14ac:dyDescent="0.25">
      <c r="E458" s="2"/>
      <c r="G458" s="2"/>
      <c r="H458" s="2"/>
      <c r="K458" s="2"/>
      <c r="M458" s="2"/>
    </row>
    <row r="459" spans="4:13" x14ac:dyDescent="0.25">
      <c r="E459" s="2"/>
      <c r="G459" s="2"/>
      <c r="H459" s="2"/>
      <c r="K459" s="2"/>
      <c r="M459" s="2"/>
    </row>
    <row r="460" spans="4:13" x14ac:dyDescent="0.25">
      <c r="E460" s="2"/>
      <c r="G460" s="2"/>
      <c r="H460" s="2"/>
      <c r="K460" s="2"/>
      <c r="M460" s="2"/>
    </row>
    <row r="461" spans="4:13" x14ac:dyDescent="0.25">
      <c r="D461" t="s">
        <v>56</v>
      </c>
      <c r="E461" s="2">
        <v>66</v>
      </c>
      <c r="F461" t="str">
        <f>SUBSTITUTE(D461, "          (big city)", "")</f>
        <v>Erzurum to Berlin: 16</v>
      </c>
      <c r="G461" s="2">
        <f>FIND(" to ", F461)</f>
        <v>8</v>
      </c>
      <c r="H461" s="2">
        <f>FIND(":", F461)</f>
        <v>18</v>
      </c>
      <c r="I461" t="str">
        <f>LEFT(F461, G461-1)</f>
        <v>Erzurum</v>
      </c>
      <c r="J461" t="str">
        <f>MID(F461, G461+4, 9999)</f>
        <v>Berlin: 16</v>
      </c>
      <c r="K461" s="2">
        <f>FIND(":", J461)</f>
        <v>7</v>
      </c>
      <c r="L461" t="str">
        <f>LEFT(J461, K461-1)</f>
        <v>Berlin</v>
      </c>
      <c r="M461" s="2" t="str">
        <f>RIGHT(F461, LEN(F461)-H461)</f>
        <v xml:space="preserve"> 16</v>
      </c>
    </row>
    <row r="462" spans="4:13" x14ac:dyDescent="0.25">
      <c r="E462" s="2"/>
      <c r="G462" s="2"/>
      <c r="H462" s="2"/>
      <c r="K462" s="2"/>
      <c r="M462" s="2"/>
    </row>
    <row r="463" spans="4:13" x14ac:dyDescent="0.25">
      <c r="E463" s="2"/>
      <c r="G463" s="2"/>
      <c r="H463" s="2"/>
      <c r="K463" s="2"/>
      <c r="M463" s="2"/>
    </row>
    <row r="464" spans="4:13" x14ac:dyDescent="0.25">
      <c r="E464" s="2"/>
      <c r="G464" s="2"/>
      <c r="H464" s="2"/>
      <c r="K464" s="2"/>
      <c r="M464" s="2"/>
    </row>
    <row r="465" spans="4:13" x14ac:dyDescent="0.25">
      <c r="E465" s="2"/>
      <c r="G465" s="2"/>
      <c r="H465" s="2"/>
      <c r="K465" s="2"/>
      <c r="M465" s="2"/>
    </row>
    <row r="466" spans="4:13" x14ac:dyDescent="0.25">
      <c r="E466" s="2"/>
      <c r="G466" s="2"/>
      <c r="H466" s="2"/>
      <c r="K466" s="2"/>
      <c r="M466" s="2"/>
    </row>
    <row r="467" spans="4:13" x14ac:dyDescent="0.25">
      <c r="E467" s="2"/>
      <c r="G467" s="2"/>
      <c r="H467" s="2"/>
      <c r="K467" s="2"/>
      <c r="M467" s="2"/>
    </row>
    <row r="468" spans="4:13" x14ac:dyDescent="0.25">
      <c r="D468" t="s">
        <v>90</v>
      </c>
      <c r="E468" s="2">
        <v>67</v>
      </c>
      <c r="F468" t="str">
        <f>SUBSTITUTE(D468, "          (big city)", "")</f>
        <v>Venezia to Brindisi: 4</v>
      </c>
      <c r="G468" s="2">
        <f>FIND(" to ", F468)</f>
        <v>8</v>
      </c>
      <c r="H468" s="2">
        <f>FIND(":", F468)</f>
        <v>20</v>
      </c>
      <c r="I468" t="str">
        <f>LEFT(F468, G468-1)</f>
        <v>Venezia</v>
      </c>
      <c r="J468" t="str">
        <f>MID(F468, G468+4, 9999)</f>
        <v>Brindisi: 4</v>
      </c>
      <c r="K468" s="2">
        <f>FIND(":", J468)</f>
        <v>9</v>
      </c>
      <c r="L468" t="str">
        <f>LEFT(J468, K468-1)</f>
        <v>Brindisi</v>
      </c>
      <c r="M468" s="2" t="str">
        <f>RIGHT(F468, LEN(F468)-H468)</f>
        <v xml:space="preserve"> 4</v>
      </c>
    </row>
    <row r="469" spans="4:13" x14ac:dyDescent="0.25">
      <c r="E469" s="2"/>
      <c r="G469" s="2"/>
      <c r="H469" s="2"/>
      <c r="K469" s="2"/>
      <c r="M469" s="2"/>
    </row>
    <row r="470" spans="4:13" x14ac:dyDescent="0.25">
      <c r="E470" s="2"/>
      <c r="G470" s="2"/>
      <c r="H470" s="2"/>
      <c r="K470" s="2"/>
      <c r="M470" s="2"/>
    </row>
    <row r="471" spans="4:13" x14ac:dyDescent="0.25">
      <c r="E471" s="2"/>
      <c r="G471" s="2"/>
      <c r="H471" s="2"/>
      <c r="K471" s="2"/>
      <c r="M471" s="2"/>
    </row>
    <row r="472" spans="4:13" x14ac:dyDescent="0.25">
      <c r="E472" s="2"/>
      <c r="G472" s="2"/>
      <c r="H472" s="2"/>
      <c r="K472" s="2"/>
      <c r="M472" s="2"/>
    </row>
    <row r="473" spans="4:13" x14ac:dyDescent="0.25">
      <c r="E473" s="2"/>
      <c r="G473" s="2"/>
      <c r="H473" s="2"/>
      <c r="K473" s="2"/>
      <c r="M473" s="2"/>
    </row>
    <row r="474" spans="4:13" x14ac:dyDescent="0.25">
      <c r="E474" s="2"/>
      <c r="G474" s="2"/>
      <c r="H474" s="2"/>
      <c r="K474" s="2"/>
      <c r="M474" s="2"/>
    </row>
    <row r="475" spans="4:13" x14ac:dyDescent="0.25">
      <c r="D475" t="s">
        <v>57</v>
      </c>
      <c r="E475" s="2">
        <v>68</v>
      </c>
      <c r="F475" t="str">
        <f>SUBSTITUTE(D475, "          (big city)", "")</f>
        <v>Athina to Brest: 16</v>
      </c>
      <c r="G475" s="2">
        <f>FIND(" to ", F475)</f>
        <v>7</v>
      </c>
      <c r="H475" s="2">
        <f>FIND(":", F475)</f>
        <v>16</v>
      </c>
      <c r="I475" t="str">
        <f>LEFT(F475, G475-1)</f>
        <v>Athina</v>
      </c>
      <c r="J475" t="str">
        <f>MID(F475, G475+4, 9999)</f>
        <v>Brest: 16</v>
      </c>
      <c r="K475" s="2">
        <f>FIND(":", J475)</f>
        <v>6</v>
      </c>
      <c r="L475" t="str">
        <f>LEFT(J475, K475-1)</f>
        <v>Brest</v>
      </c>
      <c r="M475" s="2" t="str">
        <f>RIGHT(F475, LEN(F475)-H475)</f>
        <v xml:space="preserve"> 16</v>
      </c>
    </row>
    <row r="476" spans="4:13" x14ac:dyDescent="0.25">
      <c r="E476" s="2"/>
      <c r="G476" s="2"/>
      <c r="H476" s="2"/>
      <c r="K476" s="2"/>
      <c r="M476" s="2"/>
    </row>
    <row r="477" spans="4:13" x14ac:dyDescent="0.25">
      <c r="E477" s="2"/>
      <c r="G477" s="2"/>
      <c r="H477" s="2"/>
      <c r="K477" s="2"/>
      <c r="M477" s="2"/>
    </row>
    <row r="478" spans="4:13" x14ac:dyDescent="0.25">
      <c r="E478" s="2"/>
      <c r="G478" s="2"/>
      <c r="H478" s="2"/>
      <c r="K478" s="2"/>
      <c r="M478" s="2"/>
    </row>
    <row r="479" spans="4:13" x14ac:dyDescent="0.25">
      <c r="E479" s="2"/>
      <c r="G479" s="2"/>
      <c r="H479" s="2"/>
      <c r="K479" s="2"/>
      <c r="M479" s="2"/>
    </row>
    <row r="480" spans="4:13" x14ac:dyDescent="0.25">
      <c r="E480" s="2"/>
      <c r="G480" s="2"/>
      <c r="H480" s="2"/>
      <c r="K480" s="2"/>
      <c r="M480" s="2"/>
    </row>
    <row r="481" spans="4:13" x14ac:dyDescent="0.25">
      <c r="E481" s="2"/>
      <c r="G481" s="2"/>
      <c r="H481" s="2"/>
      <c r="K481" s="2"/>
      <c r="M481" s="2"/>
    </row>
    <row r="482" spans="4:13" x14ac:dyDescent="0.25">
      <c r="D482" t="s">
        <v>58</v>
      </c>
      <c r="E482" s="2">
        <v>69</v>
      </c>
      <c r="F482" t="str">
        <f>SUBSTITUTE(D482, "          (big city)", "")</f>
        <v>Warszawa to Madrid: 17</v>
      </c>
      <c r="G482" s="2">
        <f>FIND(" to ", F482)</f>
        <v>9</v>
      </c>
      <c r="H482" s="2">
        <f>FIND(":", F482)</f>
        <v>19</v>
      </c>
      <c r="I482" t="str">
        <f>LEFT(F482, G482-1)</f>
        <v>Warszawa</v>
      </c>
      <c r="J482" t="str">
        <f>MID(F482, G482+4, 9999)</f>
        <v>Madrid: 17</v>
      </c>
      <c r="K482" s="2">
        <f>FIND(":", J482)</f>
        <v>7</v>
      </c>
      <c r="L482" t="str">
        <f>LEFT(J482, K482-1)</f>
        <v>Madrid</v>
      </c>
      <c r="M482" s="2" t="str">
        <f>RIGHT(F482, LEN(F482)-H482)</f>
        <v xml:space="preserve"> 17</v>
      </c>
    </row>
    <row r="483" spans="4:13" x14ac:dyDescent="0.25">
      <c r="E483" s="2"/>
      <c r="G483" s="2"/>
      <c r="H483" s="2"/>
      <c r="K483" s="2"/>
      <c r="M483" s="2"/>
    </row>
    <row r="484" spans="4:13" x14ac:dyDescent="0.25">
      <c r="E484" s="2"/>
      <c r="G484" s="2"/>
      <c r="H484" s="2"/>
      <c r="K484" s="2"/>
      <c r="M484" s="2"/>
    </row>
    <row r="485" spans="4:13" x14ac:dyDescent="0.25">
      <c r="E485" s="2"/>
      <c r="G485" s="2"/>
      <c r="H485" s="2"/>
      <c r="K485" s="2"/>
      <c r="M485" s="2"/>
    </row>
    <row r="486" spans="4:13" x14ac:dyDescent="0.25">
      <c r="E486" s="2"/>
      <c r="G486" s="2"/>
      <c r="H486" s="2"/>
      <c r="K486" s="2"/>
      <c r="M486" s="2"/>
    </row>
    <row r="487" spans="4:13" x14ac:dyDescent="0.25">
      <c r="E487" s="2"/>
      <c r="G487" s="2"/>
      <c r="H487" s="2"/>
      <c r="K487" s="2"/>
      <c r="M487" s="2"/>
    </row>
    <row r="488" spans="4:13" x14ac:dyDescent="0.25">
      <c r="E488" s="2"/>
      <c r="G488" s="2"/>
      <c r="H488" s="2"/>
      <c r="K488" s="2"/>
      <c r="M488" s="2"/>
    </row>
    <row r="489" spans="4:13" x14ac:dyDescent="0.25">
      <c r="D489" t="s">
        <v>59</v>
      </c>
      <c r="E489" s="2">
        <v>70</v>
      </c>
      <c r="F489" t="str">
        <f>SUBSTITUTE(D489, "          (big city)", "")</f>
        <v>Amsterdam to Kharkov: 17</v>
      </c>
      <c r="G489" s="2">
        <f>FIND(" to ", F489)</f>
        <v>10</v>
      </c>
      <c r="H489" s="2">
        <f>FIND(":", F489)</f>
        <v>21</v>
      </c>
      <c r="I489" t="str">
        <f>LEFT(F489, G489-1)</f>
        <v>Amsterdam</v>
      </c>
      <c r="J489" t="str">
        <f>MID(F489, G489+4, 9999)</f>
        <v>Kharkov: 17</v>
      </c>
      <c r="K489" s="2">
        <f>FIND(":", J489)</f>
        <v>8</v>
      </c>
      <c r="L489" t="str">
        <f>LEFT(J489, K489-1)</f>
        <v>Kharkov</v>
      </c>
      <c r="M489" s="2" t="str">
        <f>RIGHT(F489, LEN(F489)-H489)</f>
        <v xml:space="preserve"> 17</v>
      </c>
    </row>
    <row r="490" spans="4:13" x14ac:dyDescent="0.25">
      <c r="E490" s="2"/>
      <c r="G490" s="2"/>
      <c r="H490" s="2"/>
      <c r="K490" s="2"/>
      <c r="M490" s="2"/>
    </row>
    <row r="491" spans="4:13" x14ac:dyDescent="0.25">
      <c r="E491" s="2"/>
      <c r="G491" s="2"/>
      <c r="H491" s="2"/>
      <c r="K491" s="2"/>
      <c r="M491" s="2"/>
    </row>
    <row r="492" spans="4:13" x14ac:dyDescent="0.25">
      <c r="E492" s="2"/>
      <c r="G492" s="2"/>
      <c r="H492" s="2"/>
      <c r="K492" s="2"/>
      <c r="M492" s="2"/>
    </row>
    <row r="493" spans="4:13" x14ac:dyDescent="0.25">
      <c r="E493" s="2"/>
      <c r="G493" s="2"/>
      <c r="H493" s="2"/>
      <c r="K493" s="2"/>
      <c r="M493" s="2"/>
    </row>
    <row r="494" spans="4:13" x14ac:dyDescent="0.25">
      <c r="E494" s="2"/>
      <c r="G494" s="2"/>
      <c r="H494" s="2"/>
      <c r="K494" s="2"/>
      <c r="M494" s="2"/>
    </row>
    <row r="495" spans="4:13" x14ac:dyDescent="0.25">
      <c r="E495" s="2"/>
      <c r="G495" s="2"/>
      <c r="H495" s="2"/>
      <c r="K495" s="2"/>
      <c r="M495" s="2"/>
    </row>
    <row r="496" spans="4:13" x14ac:dyDescent="0.25">
      <c r="D496" t="s">
        <v>60</v>
      </c>
      <c r="E496" s="2">
        <v>71</v>
      </c>
      <c r="F496" t="str">
        <f>SUBSTITUTE(D496, "          (big city)", "")</f>
        <v>Angora to Bruxelles: 17</v>
      </c>
      <c r="G496" s="2">
        <f>FIND(" to ", F496)</f>
        <v>7</v>
      </c>
      <c r="H496" s="2">
        <f>FIND(":", F496)</f>
        <v>20</v>
      </c>
      <c r="I496" t="str">
        <f>LEFT(F496, G496-1)</f>
        <v>Angora</v>
      </c>
      <c r="J496" t="str">
        <f>MID(F496, G496+4, 9999)</f>
        <v>Bruxelles: 17</v>
      </c>
      <c r="K496" s="2">
        <f>FIND(":", J496)</f>
        <v>10</v>
      </c>
      <c r="L496" t="str">
        <f>LEFT(J496, K496-1)</f>
        <v>Bruxelles</v>
      </c>
      <c r="M496" s="2" t="str">
        <f>RIGHT(F496, LEN(F496)-H496)</f>
        <v xml:space="preserve"> 17</v>
      </c>
    </row>
    <row r="497" spans="4:13" x14ac:dyDescent="0.25">
      <c r="E497" s="2"/>
      <c r="G497" s="2"/>
      <c r="H497" s="2"/>
      <c r="K497" s="2"/>
      <c r="M497" s="2"/>
    </row>
    <row r="498" spans="4:13" x14ac:dyDescent="0.25">
      <c r="E498" s="2"/>
      <c r="G498" s="2"/>
      <c r="H498" s="2"/>
      <c r="K498" s="2"/>
      <c r="M498" s="2"/>
    </row>
    <row r="499" spans="4:13" x14ac:dyDescent="0.25">
      <c r="E499" s="2"/>
      <c r="G499" s="2"/>
      <c r="H499" s="2"/>
      <c r="K499" s="2"/>
      <c r="M499" s="2"/>
    </row>
    <row r="500" spans="4:13" x14ac:dyDescent="0.25">
      <c r="E500" s="2"/>
      <c r="G500" s="2"/>
      <c r="H500" s="2"/>
      <c r="K500" s="2"/>
      <c r="M500" s="2"/>
    </row>
    <row r="501" spans="4:13" x14ac:dyDescent="0.25">
      <c r="E501" s="2"/>
      <c r="G501" s="2"/>
      <c r="H501" s="2"/>
      <c r="K501" s="2"/>
      <c r="M501" s="2"/>
    </row>
    <row r="502" spans="4:13" x14ac:dyDescent="0.25">
      <c r="E502" s="2"/>
      <c r="G502" s="2"/>
      <c r="H502" s="2"/>
      <c r="K502" s="2"/>
      <c r="M502" s="2"/>
    </row>
    <row r="503" spans="4:13" x14ac:dyDescent="0.25">
      <c r="D503" t="s">
        <v>61</v>
      </c>
      <c r="E503" s="2">
        <v>72</v>
      </c>
      <c r="F503" t="str">
        <f>SUBSTITUTE(D503, "          (big city)", "")</f>
        <v>Angora to Paris: 17</v>
      </c>
      <c r="G503" s="2">
        <f>FIND(" to ", F503)</f>
        <v>7</v>
      </c>
      <c r="H503" s="2">
        <f>FIND(":", F503)</f>
        <v>16</v>
      </c>
      <c r="I503" t="str">
        <f>LEFT(F503, G503-1)</f>
        <v>Angora</v>
      </c>
      <c r="J503" t="str">
        <f>MID(F503, G503+4, 9999)</f>
        <v>Paris: 17</v>
      </c>
      <c r="K503" s="2">
        <f>FIND(":", J503)</f>
        <v>6</v>
      </c>
      <c r="L503" t="str">
        <f>LEFT(J503, K503-1)</f>
        <v>Paris</v>
      </c>
      <c r="M503" s="2" t="str">
        <f>RIGHT(F503, LEN(F503)-H503)</f>
        <v xml:space="preserve"> 17</v>
      </c>
    </row>
    <row r="504" spans="4:13" x14ac:dyDescent="0.25">
      <c r="E504" s="2"/>
      <c r="G504" s="2"/>
      <c r="H504" s="2"/>
      <c r="K504" s="2"/>
      <c r="M504" s="2"/>
    </row>
    <row r="505" spans="4:13" x14ac:dyDescent="0.25">
      <c r="E505" s="2"/>
      <c r="G505" s="2"/>
      <c r="H505" s="2"/>
      <c r="K505" s="2"/>
      <c r="M505" s="2"/>
    </row>
    <row r="506" spans="4:13" x14ac:dyDescent="0.25">
      <c r="E506" s="2"/>
      <c r="G506" s="2"/>
      <c r="H506" s="2"/>
      <c r="K506" s="2"/>
      <c r="M506" s="2"/>
    </row>
    <row r="507" spans="4:13" x14ac:dyDescent="0.25">
      <c r="E507" s="2"/>
      <c r="G507" s="2"/>
      <c r="H507" s="2"/>
      <c r="K507" s="2"/>
      <c r="M507" s="2"/>
    </row>
    <row r="508" spans="4:13" x14ac:dyDescent="0.25">
      <c r="E508" s="2"/>
      <c r="G508" s="2"/>
      <c r="H508" s="2"/>
      <c r="K508" s="2"/>
      <c r="M508" s="2"/>
    </row>
    <row r="509" spans="4:13" x14ac:dyDescent="0.25">
      <c r="E509" s="2"/>
      <c r="G509" s="2"/>
      <c r="H509" s="2"/>
      <c r="K509" s="2"/>
      <c r="M509" s="2"/>
    </row>
    <row r="510" spans="4:13" x14ac:dyDescent="0.25">
      <c r="D510" t="s">
        <v>62</v>
      </c>
      <c r="E510" s="2">
        <v>73</v>
      </c>
      <c r="F510" t="str">
        <f>SUBSTITUTE(D510, "          (big city)", "")</f>
        <v>Bucuresti to Edinburgh: 18</v>
      </c>
      <c r="G510" s="2">
        <f>FIND(" to ", F510)</f>
        <v>10</v>
      </c>
      <c r="H510" s="2">
        <f>FIND(":", F510)</f>
        <v>23</v>
      </c>
      <c r="I510" t="str">
        <f>LEFT(F510, G510-1)</f>
        <v>Bucuresti</v>
      </c>
      <c r="J510" t="str">
        <f>MID(F510, G510+4, 9999)</f>
        <v>Edinburgh: 18</v>
      </c>
      <c r="K510" s="2">
        <f>FIND(":", J510)</f>
        <v>10</v>
      </c>
      <c r="L510" t="str">
        <f>LEFT(J510, K510-1)</f>
        <v>Edinburgh</v>
      </c>
      <c r="M510" s="2" t="str">
        <f>RIGHT(F510, LEN(F510)-H510)</f>
        <v xml:space="preserve"> 18</v>
      </c>
    </row>
    <row r="511" spans="4:13" x14ac:dyDescent="0.25">
      <c r="E511" s="2"/>
      <c r="G511" s="2"/>
      <c r="H511" s="2"/>
      <c r="K511" s="2"/>
      <c r="M511" s="2"/>
    </row>
    <row r="512" spans="4:13" x14ac:dyDescent="0.25">
      <c r="E512" s="2"/>
      <c r="G512" s="2"/>
      <c r="H512" s="2"/>
      <c r="K512" s="2"/>
      <c r="M512" s="2"/>
    </row>
    <row r="513" spans="4:13" x14ac:dyDescent="0.25">
      <c r="E513" s="2"/>
      <c r="G513" s="2"/>
      <c r="H513" s="2"/>
      <c r="K513" s="2"/>
      <c r="M513" s="2"/>
    </row>
    <row r="514" spans="4:13" x14ac:dyDescent="0.25">
      <c r="E514" s="2"/>
      <c r="G514" s="2"/>
      <c r="H514" s="2"/>
      <c r="K514" s="2"/>
      <c r="M514" s="2"/>
    </row>
    <row r="515" spans="4:13" x14ac:dyDescent="0.25">
      <c r="E515" s="2"/>
      <c r="G515" s="2"/>
      <c r="H515" s="2"/>
      <c r="K515" s="2"/>
      <c r="M515" s="2"/>
    </row>
    <row r="516" spans="4:13" x14ac:dyDescent="0.25">
      <c r="E516" s="2"/>
      <c r="G516" s="2"/>
      <c r="H516" s="2"/>
      <c r="K516" s="2"/>
      <c r="M516" s="2"/>
    </row>
    <row r="517" spans="4:13" x14ac:dyDescent="0.25">
      <c r="D517" t="s">
        <v>63</v>
      </c>
      <c r="E517" s="2">
        <v>74</v>
      </c>
      <c r="F517" t="str">
        <f>SUBSTITUTE(D517, "          (big city)", "")</f>
        <v>London to Smyrna: 18</v>
      </c>
      <c r="G517" s="2">
        <f>FIND(" to ", F517)</f>
        <v>7</v>
      </c>
      <c r="H517" s="2">
        <f>FIND(":", F517)</f>
        <v>17</v>
      </c>
      <c r="I517" t="str">
        <f>LEFT(F517, G517-1)</f>
        <v>London</v>
      </c>
      <c r="J517" t="str">
        <f>MID(F517, G517+4, 9999)</f>
        <v>Smyrna: 18</v>
      </c>
      <c r="K517" s="2">
        <f>FIND(":", J517)</f>
        <v>7</v>
      </c>
      <c r="L517" t="str">
        <f>LEFT(J517, K517-1)</f>
        <v>Smyrna</v>
      </c>
      <c r="M517" s="2" t="str">
        <f>RIGHT(F517, LEN(F517)-H517)</f>
        <v xml:space="preserve"> 18</v>
      </c>
    </row>
    <row r="518" spans="4:13" x14ac:dyDescent="0.25">
      <c r="E518" s="2"/>
      <c r="G518" s="2"/>
      <c r="H518" s="2"/>
      <c r="K518" s="2"/>
      <c r="M518" s="2"/>
    </row>
    <row r="519" spans="4:13" x14ac:dyDescent="0.25">
      <c r="E519" s="2"/>
      <c r="G519" s="2"/>
      <c r="H519" s="2"/>
      <c r="K519" s="2"/>
      <c r="M519" s="2"/>
    </row>
    <row r="520" spans="4:13" x14ac:dyDescent="0.25">
      <c r="E520" s="2"/>
      <c r="G520" s="2"/>
      <c r="H520" s="2"/>
      <c r="K520" s="2"/>
      <c r="M520" s="2"/>
    </row>
    <row r="521" spans="4:13" x14ac:dyDescent="0.25">
      <c r="E521" s="2"/>
      <c r="G521" s="2"/>
      <c r="H521" s="2"/>
      <c r="K521" s="2"/>
      <c r="M521" s="2"/>
    </row>
    <row r="522" spans="4:13" x14ac:dyDescent="0.25">
      <c r="E522" s="2"/>
      <c r="G522" s="2"/>
      <c r="H522" s="2"/>
      <c r="K522" s="2"/>
      <c r="M522" s="2"/>
    </row>
    <row r="523" spans="4:13" x14ac:dyDescent="0.25">
      <c r="E523" s="2"/>
      <c r="G523" s="2"/>
      <c r="H523" s="2"/>
      <c r="K523" s="2"/>
      <c r="M523" s="2"/>
    </row>
    <row r="524" spans="4:13" x14ac:dyDescent="0.25">
      <c r="D524" t="s">
        <v>64</v>
      </c>
      <c r="E524" s="2">
        <v>75</v>
      </c>
      <c r="F524" t="str">
        <f>SUBSTITUTE(D524, "          (big city)", "")</f>
        <v>Dieppe to Petrograd: 18</v>
      </c>
      <c r="G524" s="2">
        <f>FIND(" to ", F524)</f>
        <v>7</v>
      </c>
      <c r="H524" s="2">
        <f>FIND(":", F524)</f>
        <v>20</v>
      </c>
      <c r="I524" t="str">
        <f>LEFT(F524, G524-1)</f>
        <v>Dieppe</v>
      </c>
      <c r="J524" t="str">
        <f>MID(F524, G524+4, 9999)</f>
        <v>Petrograd: 18</v>
      </c>
      <c r="K524" s="2">
        <f>FIND(":", J524)</f>
        <v>10</v>
      </c>
      <c r="L524" t="str">
        <f>LEFT(J524, K524-1)</f>
        <v>Petrograd</v>
      </c>
      <c r="M524" s="2" t="str">
        <f>RIGHT(F524, LEN(F524)-H524)</f>
        <v xml:space="preserve"> 18</v>
      </c>
    </row>
    <row r="525" spans="4:13" x14ac:dyDescent="0.25">
      <c r="E525" s="2"/>
      <c r="G525" s="2"/>
      <c r="H525" s="2"/>
      <c r="K525" s="2"/>
      <c r="M525" s="2"/>
    </row>
    <row r="526" spans="4:13" x14ac:dyDescent="0.25">
      <c r="E526" s="2"/>
      <c r="G526" s="2"/>
      <c r="H526" s="2"/>
      <c r="K526" s="2"/>
      <c r="M526" s="2"/>
    </row>
    <row r="527" spans="4:13" x14ac:dyDescent="0.25">
      <c r="E527" s="2"/>
      <c r="G527" s="2"/>
      <c r="H527" s="2"/>
      <c r="K527" s="2"/>
      <c r="M527" s="2"/>
    </row>
    <row r="528" spans="4:13" x14ac:dyDescent="0.25">
      <c r="E528" s="2"/>
      <c r="G528" s="2"/>
      <c r="H528" s="2"/>
      <c r="K528" s="2"/>
      <c r="M528" s="2"/>
    </row>
    <row r="529" spans="4:13" x14ac:dyDescent="0.25">
      <c r="E529" s="2"/>
      <c r="G529" s="2"/>
      <c r="H529" s="2"/>
      <c r="K529" s="2"/>
      <c r="M529" s="2"/>
    </row>
    <row r="530" spans="4:13" x14ac:dyDescent="0.25">
      <c r="E530" s="2"/>
      <c r="G530" s="2"/>
      <c r="H530" s="2"/>
      <c r="K530" s="2"/>
      <c r="M530" s="2"/>
    </row>
    <row r="531" spans="4:13" x14ac:dyDescent="0.25">
      <c r="D531" t="s">
        <v>65</v>
      </c>
      <c r="E531" s="2">
        <v>76</v>
      </c>
      <c r="F531" t="str">
        <f>SUBSTITUTE(D531, "          (big city)", "")</f>
        <v>Paris to Moskva: 18</v>
      </c>
      <c r="G531" s="2">
        <f>FIND(" to ", F531)</f>
        <v>6</v>
      </c>
      <c r="H531" s="2">
        <f>FIND(":", F531)</f>
        <v>16</v>
      </c>
      <c r="I531" t="str">
        <f>LEFT(F531, G531-1)</f>
        <v>Paris</v>
      </c>
      <c r="J531" t="str">
        <f>MID(F531, G531+4, 9999)</f>
        <v>Moskva: 18</v>
      </c>
      <c r="K531" s="2">
        <f>FIND(":", J531)</f>
        <v>7</v>
      </c>
      <c r="L531" t="str">
        <f>LEFT(J531, K531-1)</f>
        <v>Moskva</v>
      </c>
      <c r="M531" s="2" t="str">
        <f>RIGHT(F531, LEN(F531)-H531)</f>
        <v xml:space="preserve"> 18</v>
      </c>
    </row>
    <row r="532" spans="4:13" x14ac:dyDescent="0.25">
      <c r="E532" s="2"/>
      <c r="G532" s="2"/>
      <c r="H532" s="2"/>
      <c r="K532" s="2"/>
      <c r="M532" s="2"/>
    </row>
    <row r="533" spans="4:13" x14ac:dyDescent="0.25">
      <c r="E533" s="2"/>
      <c r="G533" s="2"/>
      <c r="H533" s="2"/>
      <c r="K533" s="2"/>
      <c r="M533" s="2"/>
    </row>
    <row r="534" spans="4:13" x14ac:dyDescent="0.25">
      <c r="E534" s="2"/>
      <c r="G534" s="2"/>
      <c r="H534" s="2"/>
      <c r="K534" s="2"/>
      <c r="M534" s="2"/>
    </row>
    <row r="535" spans="4:13" x14ac:dyDescent="0.25">
      <c r="E535" s="2"/>
      <c r="G535" s="2"/>
      <c r="H535" s="2"/>
      <c r="K535" s="2"/>
      <c r="M535" s="2"/>
    </row>
    <row r="536" spans="4:13" x14ac:dyDescent="0.25">
      <c r="E536" s="2"/>
      <c r="G536" s="2"/>
      <c r="H536" s="2"/>
      <c r="K536" s="2"/>
      <c r="M536" s="2"/>
    </row>
    <row r="537" spans="4:13" x14ac:dyDescent="0.25">
      <c r="E537" s="2"/>
      <c r="G537" s="2"/>
      <c r="H537" s="2"/>
      <c r="K537" s="2"/>
      <c r="M537" s="2"/>
    </row>
    <row r="538" spans="4:13" x14ac:dyDescent="0.25">
      <c r="D538" t="s">
        <v>66</v>
      </c>
      <c r="E538" s="2">
        <v>77</v>
      </c>
      <c r="F538" t="str">
        <f>SUBSTITUTE(D538, "          (big city)", "")</f>
        <v>Madrid to Constantinople: 20</v>
      </c>
      <c r="G538" s="2">
        <f>FIND(" to ", F538)</f>
        <v>7</v>
      </c>
      <c r="H538" s="2">
        <f>FIND(":", F538)</f>
        <v>25</v>
      </c>
      <c r="I538" t="str">
        <f>LEFT(F538, G538-1)</f>
        <v>Madrid</v>
      </c>
      <c r="J538" t="str">
        <f>MID(F538, G538+4, 9999)</f>
        <v>Constantinople: 20</v>
      </c>
      <c r="K538" s="2">
        <f>FIND(":", J538)</f>
        <v>15</v>
      </c>
      <c r="L538" t="str">
        <f>LEFT(J538, K538-1)</f>
        <v>Constantinople</v>
      </c>
      <c r="M538" s="2" t="str">
        <f>RIGHT(F538, LEN(F538)-H538)</f>
        <v xml:space="preserve"> 20</v>
      </c>
    </row>
    <row r="539" spans="4:13" x14ac:dyDescent="0.25">
      <c r="E539" s="2"/>
      <c r="G539" s="2"/>
      <c r="H539" s="2"/>
      <c r="K539" s="2"/>
      <c r="M539" s="2"/>
    </row>
    <row r="540" spans="4:13" x14ac:dyDescent="0.25">
      <c r="E540" s="2"/>
      <c r="G540" s="2"/>
      <c r="H540" s="2"/>
      <c r="K540" s="2"/>
      <c r="M540" s="2"/>
    </row>
    <row r="541" spans="4:13" x14ac:dyDescent="0.25">
      <c r="E541" s="2"/>
      <c r="G541" s="2"/>
      <c r="H541" s="2"/>
      <c r="K541" s="2"/>
      <c r="M541" s="2"/>
    </row>
    <row r="542" spans="4:13" x14ac:dyDescent="0.25">
      <c r="E542" s="2"/>
      <c r="G542" s="2"/>
      <c r="H542" s="2"/>
      <c r="K542" s="2"/>
      <c r="M542" s="2"/>
    </row>
    <row r="543" spans="4:13" x14ac:dyDescent="0.25">
      <c r="E543" s="2"/>
      <c r="G543" s="2"/>
      <c r="H543" s="2"/>
      <c r="K543" s="2"/>
      <c r="M543" s="2"/>
    </row>
    <row r="544" spans="4:13" x14ac:dyDescent="0.25">
      <c r="E544" s="2"/>
      <c r="G544" s="2"/>
      <c r="H544" s="2"/>
      <c r="K544" s="2"/>
      <c r="M544" s="2"/>
    </row>
    <row r="545" spans="4:13" x14ac:dyDescent="0.25">
      <c r="D545" t="s">
        <v>67</v>
      </c>
      <c r="E545" s="2">
        <v>78</v>
      </c>
      <c r="F545" t="str">
        <f>SUBSTITUTE(D545, "          (big city)", "")</f>
        <v>Erzurum to Paris: 20</v>
      </c>
      <c r="G545" s="2">
        <f>FIND(" to ", F545)</f>
        <v>8</v>
      </c>
      <c r="H545" s="2">
        <f>FIND(":", F545)</f>
        <v>17</v>
      </c>
      <c r="I545" t="str">
        <f>LEFT(F545, G545-1)</f>
        <v>Erzurum</v>
      </c>
      <c r="J545" t="str">
        <f>MID(F545, G545+4, 9999)</f>
        <v>Paris: 20</v>
      </c>
      <c r="K545" s="2">
        <f>FIND(":", J545)</f>
        <v>6</v>
      </c>
      <c r="L545" t="str">
        <f>LEFT(J545, K545-1)</f>
        <v>Paris</v>
      </c>
      <c r="M545" s="2" t="str">
        <f>RIGHT(F545, LEN(F545)-H545)</f>
        <v xml:space="preserve"> 20</v>
      </c>
    </row>
    <row r="546" spans="4:13" x14ac:dyDescent="0.25">
      <c r="E546" s="2"/>
      <c r="G546" s="2"/>
      <c r="H546" s="2"/>
      <c r="K546" s="2"/>
      <c r="M546" s="2"/>
    </row>
    <row r="547" spans="4:13" x14ac:dyDescent="0.25">
      <c r="E547" s="2"/>
      <c r="G547" s="2"/>
      <c r="H547" s="2"/>
      <c r="K547" s="2"/>
      <c r="M547" s="2"/>
    </row>
    <row r="548" spans="4:13" x14ac:dyDescent="0.25">
      <c r="E548" s="2"/>
      <c r="G548" s="2"/>
      <c r="H548" s="2"/>
      <c r="K548" s="2"/>
      <c r="M548" s="2"/>
    </row>
    <row r="549" spans="4:13" x14ac:dyDescent="0.25">
      <c r="E549" s="2"/>
      <c r="G549" s="2"/>
      <c r="H549" s="2"/>
      <c r="K549" s="2"/>
      <c r="M549" s="2"/>
    </row>
    <row r="550" spans="4:13" x14ac:dyDescent="0.25">
      <c r="E550" s="2"/>
      <c r="G550" s="2"/>
      <c r="H550" s="2"/>
      <c r="K550" s="2"/>
      <c r="M550" s="2"/>
    </row>
    <row r="551" spans="4:13" x14ac:dyDescent="0.25">
      <c r="E551" s="2"/>
      <c r="G551" s="2"/>
      <c r="H551" s="2"/>
      <c r="K551" s="2"/>
      <c r="M551" s="2"/>
    </row>
    <row r="552" spans="4:13" x14ac:dyDescent="0.25">
      <c r="D552" t="s">
        <v>68</v>
      </c>
      <c r="E552" s="2">
        <v>79</v>
      </c>
      <c r="F552" t="str">
        <f>SUBSTITUTE(D552, "          (big city)", "")</f>
        <v>Cadiz to Smyrna: 21</v>
      </c>
      <c r="G552" s="2">
        <f>FIND(" to ", F552)</f>
        <v>6</v>
      </c>
      <c r="H552" s="2">
        <f>FIND(":", F552)</f>
        <v>16</v>
      </c>
      <c r="I552" t="str">
        <f>LEFT(F552, G552-1)</f>
        <v>Cadiz</v>
      </c>
      <c r="J552" t="str">
        <f>MID(F552, G552+4, 9999)</f>
        <v>Smyrna: 21</v>
      </c>
      <c r="K552" s="2">
        <f>FIND(":", J552)</f>
        <v>7</v>
      </c>
      <c r="L552" t="str">
        <f>LEFT(J552, K552-1)</f>
        <v>Smyrna</v>
      </c>
      <c r="M552" s="2" t="str">
        <f>RIGHT(F552, LEN(F552)-H552)</f>
        <v xml:space="preserve"> 21</v>
      </c>
    </row>
    <row r="553" spans="4:13" x14ac:dyDescent="0.25">
      <c r="E553" s="2"/>
      <c r="G553" s="2"/>
      <c r="H553" s="2"/>
      <c r="K553" s="2"/>
      <c r="M553" s="2"/>
    </row>
    <row r="554" spans="4:13" x14ac:dyDescent="0.25">
      <c r="E554" s="2"/>
      <c r="G554" s="2"/>
      <c r="H554" s="2"/>
      <c r="K554" s="2"/>
      <c r="M554" s="2"/>
    </row>
    <row r="555" spans="4:13" x14ac:dyDescent="0.25">
      <c r="E555" s="2"/>
      <c r="G555" s="2"/>
      <c r="H555" s="2"/>
      <c r="K555" s="2"/>
      <c r="M555" s="2"/>
    </row>
    <row r="556" spans="4:13" x14ac:dyDescent="0.25">
      <c r="E556" s="2"/>
      <c r="G556" s="2"/>
      <c r="H556" s="2"/>
      <c r="K556" s="2"/>
      <c r="M556" s="2"/>
    </row>
    <row r="557" spans="4:13" x14ac:dyDescent="0.25">
      <c r="E557" s="2"/>
      <c r="G557" s="2"/>
      <c r="H557" s="2"/>
      <c r="K557" s="2"/>
      <c r="M557" s="2"/>
    </row>
    <row r="558" spans="4:13" x14ac:dyDescent="0.25">
      <c r="E558" s="2"/>
      <c r="G558" s="2"/>
      <c r="H558" s="2"/>
      <c r="K558" s="2"/>
      <c r="M558" s="2"/>
    </row>
    <row r="559" spans="4:13" x14ac:dyDescent="0.25">
      <c r="D559" t="s">
        <v>69</v>
      </c>
      <c r="E559" s="2">
        <v>80</v>
      </c>
      <c r="F559" t="str">
        <f>SUBSTITUTE(D559, "          (big city)", "")</f>
        <v>Sochi to Barcelona: 22</v>
      </c>
      <c r="G559" s="2">
        <f>FIND(" to ", F559)</f>
        <v>6</v>
      </c>
      <c r="H559" s="2">
        <f>FIND(":", F559)</f>
        <v>19</v>
      </c>
      <c r="I559" t="str">
        <f>LEFT(F559, G559-1)</f>
        <v>Sochi</v>
      </c>
      <c r="J559" t="str">
        <f>MID(F559, G559+4, 9999)</f>
        <v>Barcelona: 22</v>
      </c>
      <c r="K559" s="2">
        <f>FIND(":", J559)</f>
        <v>10</v>
      </c>
      <c r="L559" t="str">
        <f>LEFT(J559, K559-1)</f>
        <v>Barcelona</v>
      </c>
      <c r="M559" s="2" t="str">
        <f>RIGHT(F559, LEN(F559)-H559)</f>
        <v xml:space="preserve"> 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Sheet4</vt:lpstr>
      <vt:lpstr>Sheet3</vt:lpstr>
      <vt:lpstr>Sheet4!Print_Area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</dc:creator>
  <cp:lastModifiedBy>Ryan</cp:lastModifiedBy>
  <cp:lastPrinted>2020-12-24T19:15:54Z</cp:lastPrinted>
  <dcterms:created xsi:type="dcterms:W3CDTF">2020-12-06T03:10:04Z</dcterms:created>
  <dcterms:modified xsi:type="dcterms:W3CDTF">2020-12-24T21:42:14Z</dcterms:modified>
</cp:coreProperties>
</file>